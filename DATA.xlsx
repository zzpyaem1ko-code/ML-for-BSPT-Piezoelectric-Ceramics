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51734\Nutstore\1\我的坚果云\BSPTNew\"/>
    </mc:Choice>
  </mc:AlternateContent>
  <xr:revisionPtr revIDLastSave="0" documentId="13_ncr:1_{1B917854-B66A-42BF-880E-77494C3861D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ain 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6" i="2" l="1"/>
  <c r="X26" i="2"/>
  <c r="J26" i="2" s="1"/>
  <c r="N26" i="2"/>
  <c r="M26" i="2"/>
  <c r="L26" i="2"/>
  <c r="K26" i="2"/>
  <c r="AG25" i="2"/>
  <c r="X25" i="2"/>
  <c r="J25" i="2" s="1"/>
  <c r="N25" i="2"/>
  <c r="M25" i="2"/>
  <c r="L25" i="2"/>
  <c r="K25" i="2"/>
  <c r="AG24" i="2"/>
  <c r="X24" i="2"/>
  <c r="J24" i="2" s="1"/>
  <c r="N24" i="2"/>
  <c r="M24" i="2"/>
  <c r="L24" i="2"/>
  <c r="K24" i="2"/>
  <c r="AG23" i="2"/>
  <c r="X23" i="2"/>
  <c r="N23" i="2"/>
  <c r="M23" i="2"/>
  <c r="L23" i="2"/>
  <c r="K23" i="2"/>
  <c r="J23" i="2"/>
  <c r="AG22" i="2"/>
  <c r="X22" i="2"/>
  <c r="J22" i="2" s="1"/>
  <c r="N22" i="2"/>
  <c r="M22" i="2"/>
  <c r="L22" i="2"/>
  <c r="K22" i="2"/>
  <c r="AG21" i="2"/>
  <c r="X21" i="2"/>
  <c r="J21" i="2" s="1"/>
  <c r="N21" i="2"/>
  <c r="M21" i="2"/>
  <c r="L21" i="2"/>
  <c r="K21" i="2"/>
  <c r="AG20" i="2"/>
  <c r="X20" i="2"/>
  <c r="J20" i="2" s="1"/>
  <c r="N20" i="2"/>
  <c r="M20" i="2"/>
  <c r="L20" i="2"/>
  <c r="K20" i="2"/>
  <c r="AG19" i="2"/>
  <c r="X19" i="2"/>
  <c r="J19" i="2" s="1"/>
  <c r="N19" i="2"/>
  <c r="M19" i="2"/>
  <c r="L19" i="2"/>
  <c r="K19" i="2"/>
  <c r="AG18" i="2"/>
  <c r="X18" i="2"/>
  <c r="N18" i="2"/>
  <c r="M18" i="2"/>
  <c r="L18" i="2"/>
  <c r="K18" i="2"/>
  <c r="J18" i="2"/>
  <c r="AG17" i="2"/>
  <c r="X17" i="2"/>
  <c r="J17" i="2" s="1"/>
  <c r="N17" i="2"/>
  <c r="M17" i="2"/>
  <c r="L17" i="2"/>
  <c r="K17" i="2"/>
  <c r="AG16" i="2"/>
  <c r="X16" i="2"/>
  <c r="J16" i="2" s="1"/>
  <c r="N16" i="2"/>
  <c r="M16" i="2"/>
  <c r="L16" i="2"/>
  <c r="K16" i="2"/>
  <c r="AG15" i="2"/>
  <c r="X15" i="2"/>
  <c r="J15" i="2" s="1"/>
  <c r="N15" i="2"/>
  <c r="M15" i="2"/>
  <c r="L15" i="2"/>
  <c r="K15" i="2"/>
  <c r="AG14" i="2"/>
  <c r="X14" i="2"/>
  <c r="J14" i="2" s="1"/>
  <c r="N14" i="2"/>
  <c r="M14" i="2"/>
  <c r="L14" i="2"/>
  <c r="K14" i="2"/>
  <c r="AG13" i="2"/>
  <c r="X13" i="2"/>
  <c r="J13" i="2" s="1"/>
  <c r="N13" i="2"/>
  <c r="M13" i="2"/>
  <c r="L13" i="2"/>
  <c r="K13" i="2"/>
  <c r="AG12" i="2"/>
  <c r="X12" i="2"/>
  <c r="J12" i="2" s="1"/>
  <c r="N12" i="2"/>
  <c r="M12" i="2"/>
  <c r="L12" i="2"/>
  <c r="K12" i="2"/>
  <c r="AG11" i="2"/>
  <c r="X11" i="2"/>
  <c r="J11" i="2" s="1"/>
  <c r="N11" i="2"/>
  <c r="M11" i="2"/>
  <c r="L11" i="2"/>
  <c r="K11" i="2"/>
  <c r="AG10" i="2"/>
  <c r="X10" i="2"/>
  <c r="J10" i="2" s="1"/>
  <c r="N10" i="2"/>
  <c r="M10" i="2"/>
  <c r="L10" i="2"/>
  <c r="K10" i="2"/>
  <c r="AG9" i="2"/>
  <c r="X9" i="2"/>
  <c r="N9" i="2"/>
  <c r="M9" i="2"/>
  <c r="L9" i="2"/>
  <c r="K9" i="2"/>
  <c r="J9" i="2"/>
  <c r="AG8" i="2"/>
  <c r="X8" i="2"/>
  <c r="J8" i="2" s="1"/>
  <c r="N8" i="2"/>
  <c r="M8" i="2"/>
  <c r="L8" i="2"/>
  <c r="K8" i="2"/>
  <c r="AG7" i="2"/>
  <c r="X7" i="2"/>
  <c r="N7" i="2"/>
  <c r="M7" i="2"/>
  <c r="L7" i="2"/>
  <c r="K7" i="2"/>
  <c r="J7" i="2"/>
  <c r="AG6" i="2"/>
  <c r="X6" i="2"/>
  <c r="J6" i="2" s="1"/>
  <c r="N6" i="2"/>
  <c r="M6" i="2"/>
  <c r="L6" i="2"/>
  <c r="K6" i="2"/>
  <c r="AG5" i="2"/>
  <c r="X5" i="2"/>
  <c r="J5" i="2" s="1"/>
  <c r="N5" i="2"/>
  <c r="M5" i="2"/>
  <c r="L5" i="2"/>
  <c r="K5" i="2"/>
  <c r="AG4" i="2"/>
  <c r="X4" i="2"/>
  <c r="J4" i="2" s="1"/>
  <c r="N4" i="2"/>
  <c r="M4" i="2"/>
  <c r="L4" i="2"/>
  <c r="K4" i="2"/>
  <c r="AG3" i="2"/>
  <c r="X3" i="2"/>
  <c r="J3" i="2" s="1"/>
  <c r="N3" i="2"/>
  <c r="M3" i="2"/>
  <c r="L3" i="2"/>
  <c r="K3" i="2"/>
  <c r="AG2" i="2"/>
  <c r="X2" i="2"/>
  <c r="N2" i="2"/>
  <c r="M2" i="2"/>
  <c r="L2" i="2"/>
  <c r="K2" i="2"/>
  <c r="J2" i="2"/>
  <c r="C173" i="1" l="1"/>
  <c r="C172" i="1"/>
  <c r="C171" i="1"/>
  <c r="C170" i="1"/>
  <c r="C169" i="1"/>
  <c r="J168" i="1"/>
  <c r="F168" i="1"/>
  <c r="D168" i="1"/>
  <c r="J167" i="1"/>
  <c r="F167" i="1"/>
  <c r="D167" i="1"/>
  <c r="J166" i="1"/>
  <c r="F166" i="1"/>
  <c r="D166" i="1"/>
  <c r="J165" i="1"/>
  <c r="F165" i="1"/>
  <c r="D165" i="1"/>
  <c r="F164" i="1"/>
  <c r="F163" i="1"/>
  <c r="F162" i="1"/>
  <c r="F161" i="1"/>
  <c r="F160" i="1"/>
  <c r="F159" i="1"/>
  <c r="F158" i="1"/>
  <c r="N157" i="1"/>
  <c r="I157" i="1"/>
  <c r="E157" i="1"/>
  <c r="C157" i="1"/>
  <c r="R153" i="1"/>
  <c r="N153" i="1"/>
  <c r="E153" i="1"/>
  <c r="F153" i="1" s="1"/>
  <c r="C153" i="1"/>
  <c r="B153" i="1"/>
  <c r="R152" i="1"/>
  <c r="N152" i="1"/>
  <c r="F152" i="1"/>
  <c r="E152" i="1"/>
  <c r="C152" i="1"/>
  <c r="B152" i="1"/>
  <c r="N151" i="1"/>
  <c r="J151" i="1"/>
  <c r="C151" i="1"/>
  <c r="N150" i="1"/>
  <c r="J150" i="1"/>
  <c r="C150" i="1"/>
  <c r="N149" i="1"/>
  <c r="J149" i="1"/>
  <c r="C149" i="1"/>
  <c r="N148" i="1"/>
  <c r="J148" i="1"/>
  <c r="C148" i="1"/>
  <c r="N147" i="1"/>
  <c r="J147" i="1"/>
  <c r="C147" i="1"/>
  <c r="N146" i="1"/>
  <c r="J146" i="1"/>
  <c r="N145" i="1"/>
  <c r="J145" i="1"/>
  <c r="N144" i="1"/>
  <c r="J144" i="1"/>
  <c r="N143" i="1"/>
  <c r="J143" i="1"/>
  <c r="N142" i="1"/>
  <c r="J142" i="1"/>
  <c r="P141" i="1"/>
  <c r="N141" i="1"/>
  <c r="P140" i="1"/>
  <c r="N140" i="1"/>
  <c r="P139" i="1"/>
  <c r="N139" i="1"/>
  <c r="P138" i="1"/>
  <c r="N138" i="1"/>
  <c r="P137" i="1"/>
  <c r="N137" i="1"/>
  <c r="N115" i="1"/>
  <c r="G115" i="1"/>
  <c r="N114" i="1"/>
  <c r="G114" i="1"/>
  <c r="N113" i="1"/>
  <c r="G113" i="1"/>
  <c r="N112" i="1"/>
  <c r="G112" i="1"/>
  <c r="N111" i="1"/>
  <c r="G111" i="1"/>
  <c r="N110" i="1"/>
  <c r="G110" i="1"/>
  <c r="E110" i="1"/>
  <c r="N109" i="1"/>
  <c r="G109" i="1"/>
  <c r="E109" i="1"/>
  <c r="N108" i="1"/>
  <c r="G108" i="1"/>
  <c r="E108" i="1"/>
  <c r="N107" i="1"/>
  <c r="G107" i="1"/>
  <c r="E107" i="1"/>
  <c r="Q101" i="1"/>
  <c r="Q100" i="1"/>
  <c r="Q99" i="1"/>
  <c r="Q98" i="1"/>
  <c r="Q97" i="1"/>
</calcChain>
</file>

<file path=xl/sharedStrings.xml><?xml version="1.0" encoding="utf-8"?>
<sst xmlns="http://schemas.openxmlformats.org/spreadsheetml/2006/main" count="104" uniqueCount="63">
  <si>
    <t>d33</t>
    <phoneticPr fontId="2" type="noConversion"/>
  </si>
  <si>
    <t>Tc</t>
    <phoneticPr fontId="2" type="noConversion"/>
  </si>
  <si>
    <t>Pb-2</t>
    <phoneticPr fontId="2" type="noConversion"/>
  </si>
  <si>
    <t>Ti-4</t>
    <phoneticPr fontId="2" type="noConversion"/>
  </si>
  <si>
    <t>Bi-3</t>
    <phoneticPr fontId="2" type="noConversion"/>
  </si>
  <si>
    <t>Sc-3</t>
    <phoneticPr fontId="2" type="noConversion"/>
  </si>
  <si>
    <t>Ni-2</t>
    <phoneticPr fontId="2" type="noConversion"/>
  </si>
  <si>
    <t>Zr-4</t>
    <phoneticPr fontId="2" type="noConversion"/>
  </si>
  <si>
    <t>Mn-2</t>
    <phoneticPr fontId="2" type="noConversion"/>
  </si>
  <si>
    <t>Zn-2</t>
    <phoneticPr fontId="2" type="noConversion"/>
  </si>
  <si>
    <t>Yb-3</t>
    <phoneticPr fontId="2" type="noConversion"/>
  </si>
  <si>
    <t>Ga-3</t>
    <phoneticPr fontId="2" type="noConversion"/>
  </si>
  <si>
    <t>In-3</t>
    <phoneticPr fontId="2" type="noConversion"/>
  </si>
  <si>
    <t>Nb-5</t>
    <phoneticPr fontId="2" type="noConversion"/>
  </si>
  <si>
    <t>Sn-2</t>
    <phoneticPr fontId="2" type="noConversion"/>
  </si>
  <si>
    <t>Cd-2</t>
    <phoneticPr fontId="2" type="noConversion"/>
  </si>
  <si>
    <t>Sb-5</t>
    <phoneticPr fontId="2" type="noConversion"/>
  </si>
  <si>
    <t>Mg-2</t>
    <phoneticPr fontId="2" type="noConversion"/>
  </si>
  <si>
    <t>Li-1</t>
    <phoneticPr fontId="2" type="noConversion"/>
  </si>
  <si>
    <t>Sb-3</t>
    <phoneticPr fontId="2" type="noConversion"/>
  </si>
  <si>
    <t>Mn-3</t>
    <phoneticPr fontId="2" type="noConversion"/>
  </si>
  <si>
    <t>Element</t>
    <phoneticPr fontId="2" type="noConversion"/>
  </si>
  <si>
    <t>position</t>
    <phoneticPr fontId="2" type="noConversion"/>
  </si>
  <si>
    <t>RSC6</t>
    <phoneticPr fontId="2" type="noConversion"/>
  </si>
  <si>
    <t>RSC12</t>
    <phoneticPr fontId="2" type="noConversion"/>
  </si>
  <si>
    <t>RC</t>
    <phoneticPr fontId="2" type="noConversion"/>
  </si>
  <si>
    <t>RP</t>
    <phoneticPr fontId="2" type="noConversion"/>
  </si>
  <si>
    <t>Rdce</t>
    <phoneticPr fontId="2" type="noConversion"/>
  </si>
  <si>
    <t>Rdve</t>
    <phoneticPr fontId="2" type="noConversion"/>
  </si>
  <si>
    <t>Ven</t>
    <phoneticPr fontId="2" type="noConversion"/>
  </si>
  <si>
    <t>Ne/IR</t>
    <phoneticPr fontId="2" type="noConversion"/>
  </si>
  <si>
    <t>CNE_C/IR</t>
    <phoneticPr fontId="2" type="noConversion"/>
  </si>
  <si>
    <t>CNE_S/IR</t>
    <phoneticPr fontId="2" type="noConversion"/>
  </si>
  <si>
    <t>VEC_Z</t>
    <phoneticPr fontId="2" type="noConversion"/>
  </si>
  <si>
    <t>Val_IR</t>
    <phoneticPr fontId="2" type="noConversion"/>
  </si>
  <si>
    <t>CNE_C</t>
    <phoneticPr fontId="2" type="noConversion"/>
  </si>
  <si>
    <t>CNE_S</t>
    <phoneticPr fontId="2" type="noConversion"/>
  </si>
  <si>
    <t>CP</t>
    <phoneticPr fontId="2" type="noConversion"/>
  </si>
  <si>
    <t>Valence</t>
    <phoneticPr fontId="2" type="noConversion"/>
  </si>
  <si>
    <t>AN</t>
    <phoneticPr fontId="2" type="noConversion"/>
  </si>
  <si>
    <t>AW</t>
    <phoneticPr fontId="2" type="noConversion"/>
  </si>
  <si>
    <t>AV</t>
    <phoneticPr fontId="2" type="noConversion"/>
  </si>
  <si>
    <t>AR</t>
    <phoneticPr fontId="2" type="noConversion"/>
  </si>
  <si>
    <t>IP</t>
    <phoneticPr fontId="2" type="noConversion"/>
  </si>
  <si>
    <t>Electrons</t>
    <phoneticPr fontId="2" type="noConversion"/>
  </si>
  <si>
    <t>EN-A</t>
    <phoneticPr fontId="2" type="noConversion"/>
  </si>
  <si>
    <t>EN_MB</t>
    <phoneticPr fontId="2" type="noConversion"/>
  </si>
  <si>
    <t>EN-P</t>
    <phoneticPr fontId="2" type="noConversion"/>
  </si>
  <si>
    <t>EA</t>
    <phoneticPr fontId="2" type="noConversion"/>
  </si>
  <si>
    <t>RVdw</t>
    <phoneticPr fontId="2" type="noConversion"/>
  </si>
  <si>
    <t>I1</t>
    <phoneticPr fontId="2" type="noConversion"/>
  </si>
  <si>
    <t>I2</t>
    <phoneticPr fontId="2" type="noConversion"/>
  </si>
  <si>
    <t>I3</t>
    <phoneticPr fontId="2" type="noConversion"/>
  </si>
  <si>
    <t>OF</t>
    <phoneticPr fontId="2" type="noConversion"/>
  </si>
  <si>
    <t>A</t>
    <phoneticPr fontId="2" type="noConversion"/>
  </si>
  <si>
    <t>B</t>
    <phoneticPr fontId="2" type="noConversion"/>
  </si>
  <si>
    <t>Mn-3</t>
  </si>
  <si>
    <t>W-6</t>
    <phoneticPr fontId="2" type="noConversion"/>
  </si>
  <si>
    <t>Ce-4</t>
    <phoneticPr fontId="2" type="noConversion"/>
  </si>
  <si>
    <t>Ta-5</t>
    <phoneticPr fontId="2" type="noConversion"/>
  </si>
  <si>
    <t>La-3</t>
    <phoneticPr fontId="2" type="noConversion"/>
  </si>
  <si>
    <t>Cr-3</t>
    <phoneticPr fontId="2" type="noConversion"/>
  </si>
  <si>
    <t>Cu-2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</si>
</sst>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"/>
  </numFmts>
  <fonts count="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1"/>
      <color theme="1"/>
      <name val="Times New Roman"/>
      <family val="1"/>
    </font>
    <font>
      <sz val="11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176" fontId="5" fillId="5" borderId="12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/>
    <xf numFmtId="0" fontId="8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常规" xfId="0" builtinId="0"/>
    <cellStyle name="常规 2" xfId="1" xr:uid="{F492E043-46AC-44B6-A979-F84E2716C8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3"/>
  <sheetViews>
    <sheetView workbookViewId="0">
      <selection sqref="A1:U1048576"/>
    </sheetView>
  </sheetViews>
  <sheetFormatPr defaultRowHeight="14.25" x14ac:dyDescent="0.2"/>
  <cols>
    <col min="1" max="1" width="8.875" style="20"/>
    <col min="2" max="11" width="8.875" style="21"/>
    <col min="12" max="12" width="9.125" style="21" bestFit="1" customWidth="1"/>
    <col min="13" max="21" width="8.875" style="21"/>
  </cols>
  <sheetData>
    <row r="1" spans="1:21" ht="19.5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6" t="s">
        <v>18</v>
      </c>
      <c r="T1" s="4" t="s">
        <v>19</v>
      </c>
      <c r="U1" s="7" t="s">
        <v>20</v>
      </c>
    </row>
    <row r="2" spans="1:21" ht="15" x14ac:dyDescent="0.2">
      <c r="A2" s="8">
        <v>460</v>
      </c>
      <c r="B2" s="9">
        <v>437</v>
      </c>
      <c r="C2" s="10">
        <v>0.63</v>
      </c>
      <c r="D2" s="11">
        <v>0.63</v>
      </c>
      <c r="E2" s="11">
        <v>0.37</v>
      </c>
      <c r="F2" s="11">
        <v>0.34499999999999997</v>
      </c>
      <c r="G2" s="11">
        <v>1.2500000000000001E-2</v>
      </c>
      <c r="H2" s="11">
        <v>1.2500000000000001E-2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9">
        <v>0</v>
      </c>
    </row>
    <row r="3" spans="1:21" ht="15" x14ac:dyDescent="0.2">
      <c r="A3" s="12">
        <v>480</v>
      </c>
      <c r="B3" s="13">
        <v>439</v>
      </c>
      <c r="C3" s="14">
        <v>0.63500000000000001</v>
      </c>
      <c r="D3" s="15">
        <v>0.63500000000000001</v>
      </c>
      <c r="E3" s="15">
        <v>0.36499999999999999</v>
      </c>
      <c r="F3" s="15">
        <v>0.33999999999999997</v>
      </c>
      <c r="G3" s="15">
        <v>1.2500000000000001E-2</v>
      </c>
      <c r="H3" s="15">
        <v>1.2500000000000001E-2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3">
        <v>0</v>
      </c>
    </row>
    <row r="4" spans="1:21" ht="15" x14ac:dyDescent="0.2">
      <c r="A4" s="12">
        <v>430</v>
      </c>
      <c r="B4" s="13">
        <v>443</v>
      </c>
      <c r="C4" s="14">
        <v>0.64</v>
      </c>
      <c r="D4" s="15">
        <v>0.64</v>
      </c>
      <c r="E4" s="15">
        <v>0.36</v>
      </c>
      <c r="F4" s="15">
        <v>0.33499999999999996</v>
      </c>
      <c r="G4" s="15">
        <v>1.2500000000000001E-2</v>
      </c>
      <c r="H4" s="15">
        <v>1.2500000000000001E-2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3">
        <v>0</v>
      </c>
    </row>
    <row r="5" spans="1:21" ht="15" x14ac:dyDescent="0.2">
      <c r="A5" s="12">
        <v>430</v>
      </c>
      <c r="B5" s="13">
        <v>418</v>
      </c>
      <c r="C5" s="14">
        <v>0.62</v>
      </c>
      <c r="D5" s="15">
        <v>0.62</v>
      </c>
      <c r="E5" s="15">
        <v>0.38</v>
      </c>
      <c r="F5" s="15">
        <v>0.33</v>
      </c>
      <c r="G5" s="15">
        <v>2.5000000000000001E-2</v>
      </c>
      <c r="H5" s="15">
        <v>2.5000000000000001E-2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3">
        <v>0</v>
      </c>
    </row>
    <row r="6" spans="1:21" ht="15" x14ac:dyDescent="0.2">
      <c r="A6" s="12">
        <v>470</v>
      </c>
      <c r="B6" s="13">
        <v>422</v>
      </c>
      <c r="C6" s="14">
        <v>0.63</v>
      </c>
      <c r="D6" s="15">
        <v>0.63</v>
      </c>
      <c r="E6" s="15">
        <v>0.37</v>
      </c>
      <c r="F6" s="15">
        <v>0.32</v>
      </c>
      <c r="G6" s="15">
        <v>2.5000000000000001E-2</v>
      </c>
      <c r="H6" s="15">
        <v>2.5000000000000001E-2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3">
        <v>0</v>
      </c>
    </row>
    <row r="7" spans="1:21" ht="15" x14ac:dyDescent="0.2">
      <c r="A7" s="12">
        <v>380</v>
      </c>
      <c r="B7" s="13">
        <v>426</v>
      </c>
      <c r="C7" s="14">
        <v>0.64</v>
      </c>
      <c r="D7" s="15">
        <v>0.64</v>
      </c>
      <c r="E7" s="15">
        <v>0.36</v>
      </c>
      <c r="F7" s="15">
        <v>0.31</v>
      </c>
      <c r="G7" s="15">
        <v>2.5000000000000001E-2</v>
      </c>
      <c r="H7" s="15">
        <v>2.5000000000000001E-2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3">
        <v>0</v>
      </c>
    </row>
    <row r="8" spans="1:21" ht="15" x14ac:dyDescent="0.2">
      <c r="A8" s="12">
        <v>370</v>
      </c>
      <c r="B8" s="13">
        <v>404</v>
      </c>
      <c r="C8" s="14">
        <v>0.61</v>
      </c>
      <c r="D8" s="15">
        <v>0.61</v>
      </c>
      <c r="E8" s="15">
        <v>0.39</v>
      </c>
      <c r="F8" s="15">
        <v>0.315</v>
      </c>
      <c r="G8" s="15">
        <v>3.7499999999999999E-2</v>
      </c>
      <c r="H8" s="15">
        <v>3.7499999999999999E-2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3">
        <v>0</v>
      </c>
    </row>
    <row r="9" spans="1:21" ht="15" x14ac:dyDescent="0.2">
      <c r="A9" s="12">
        <v>440</v>
      </c>
      <c r="B9" s="13">
        <v>410</v>
      </c>
      <c r="C9" s="14">
        <v>0.62</v>
      </c>
      <c r="D9" s="15">
        <v>0.62</v>
      </c>
      <c r="E9" s="15">
        <v>0.38</v>
      </c>
      <c r="F9" s="15">
        <v>0.30499999999999999</v>
      </c>
      <c r="G9" s="15">
        <v>3.7499999999999999E-2</v>
      </c>
      <c r="H9" s="15">
        <v>3.7499999999999999E-2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3">
        <v>0</v>
      </c>
    </row>
    <row r="10" spans="1:21" ht="15" x14ac:dyDescent="0.2">
      <c r="A10" s="12">
        <v>360</v>
      </c>
      <c r="B10" s="13">
        <v>414</v>
      </c>
      <c r="C10" s="14">
        <v>0.63</v>
      </c>
      <c r="D10" s="15">
        <v>0.63</v>
      </c>
      <c r="E10" s="15">
        <v>0.37</v>
      </c>
      <c r="F10" s="15">
        <v>0.29499999999999998</v>
      </c>
      <c r="G10" s="15">
        <v>3.7499999999999999E-2</v>
      </c>
      <c r="H10" s="15">
        <v>3.7499999999999999E-2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3">
        <v>0</v>
      </c>
    </row>
    <row r="11" spans="1:21" ht="15" x14ac:dyDescent="0.2">
      <c r="A11" s="12">
        <v>240</v>
      </c>
      <c r="B11" s="13">
        <v>434</v>
      </c>
      <c r="C11" s="14">
        <v>0.62</v>
      </c>
      <c r="D11" s="15">
        <v>0.62</v>
      </c>
      <c r="E11" s="15">
        <v>0.38</v>
      </c>
      <c r="F11" s="15">
        <v>0.36</v>
      </c>
      <c r="G11" s="15">
        <v>0</v>
      </c>
      <c r="H11" s="15">
        <v>0.01</v>
      </c>
      <c r="I11" s="15">
        <v>0.01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3">
        <v>0</v>
      </c>
    </row>
    <row r="12" spans="1:21" ht="15" x14ac:dyDescent="0.2">
      <c r="A12" s="12">
        <v>310</v>
      </c>
      <c r="B12" s="13">
        <v>445</v>
      </c>
      <c r="C12" s="14">
        <v>0.63</v>
      </c>
      <c r="D12" s="15">
        <v>0.63</v>
      </c>
      <c r="E12" s="15">
        <v>0.37</v>
      </c>
      <c r="F12" s="15">
        <v>0.35</v>
      </c>
      <c r="G12" s="15">
        <v>0</v>
      </c>
      <c r="H12" s="15">
        <v>0.01</v>
      </c>
      <c r="I12" s="15">
        <v>0.01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3">
        <v>0</v>
      </c>
    </row>
    <row r="13" spans="1:21" ht="15" x14ac:dyDescent="0.2">
      <c r="A13" s="12">
        <v>360</v>
      </c>
      <c r="B13" s="13">
        <v>449</v>
      </c>
      <c r="C13" s="14">
        <v>0.64</v>
      </c>
      <c r="D13" s="15">
        <v>0.64</v>
      </c>
      <c r="E13" s="15">
        <v>0.36</v>
      </c>
      <c r="F13" s="15">
        <v>0.33999999999999997</v>
      </c>
      <c r="G13" s="15">
        <v>0</v>
      </c>
      <c r="H13" s="15">
        <v>0.01</v>
      </c>
      <c r="I13" s="15">
        <v>0.01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3">
        <v>0</v>
      </c>
    </row>
    <row r="14" spans="1:21" ht="15" x14ac:dyDescent="0.2">
      <c r="A14" s="12">
        <v>280</v>
      </c>
      <c r="B14" s="13">
        <v>455</v>
      </c>
      <c r="C14" s="14">
        <v>0.65</v>
      </c>
      <c r="D14" s="15">
        <v>0.65</v>
      </c>
      <c r="E14" s="15">
        <v>0.35</v>
      </c>
      <c r="F14" s="15">
        <v>0.32999999999999996</v>
      </c>
      <c r="G14" s="15">
        <v>0</v>
      </c>
      <c r="H14" s="15">
        <v>0.01</v>
      </c>
      <c r="I14" s="15">
        <v>0.01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3">
        <v>0</v>
      </c>
    </row>
    <row r="15" spans="1:21" ht="15" x14ac:dyDescent="0.2">
      <c r="A15" s="12">
        <v>210</v>
      </c>
      <c r="B15" s="13">
        <v>464</v>
      </c>
      <c r="C15" s="14">
        <v>0.66</v>
      </c>
      <c r="D15" s="15">
        <v>0.66</v>
      </c>
      <c r="E15" s="15">
        <v>0.33999999999999997</v>
      </c>
      <c r="F15" s="15">
        <v>0.31999999999999995</v>
      </c>
      <c r="G15" s="15">
        <v>0</v>
      </c>
      <c r="H15" s="15">
        <v>0.01</v>
      </c>
      <c r="I15" s="15">
        <v>0.01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3">
        <v>0</v>
      </c>
    </row>
    <row r="16" spans="1:21" ht="15" x14ac:dyDescent="0.2">
      <c r="A16" s="12">
        <v>200</v>
      </c>
      <c r="B16" s="13">
        <v>472</v>
      </c>
      <c r="C16" s="14">
        <v>0.67</v>
      </c>
      <c r="D16" s="15">
        <v>0.67</v>
      </c>
      <c r="E16" s="15">
        <v>0.32999999999999996</v>
      </c>
      <c r="F16" s="15">
        <v>0.30999999999999994</v>
      </c>
      <c r="G16" s="15">
        <v>0</v>
      </c>
      <c r="H16" s="15">
        <v>0.01</v>
      </c>
      <c r="I16" s="15">
        <v>0.01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3">
        <v>0</v>
      </c>
    </row>
    <row r="17" spans="1:21" ht="15" x14ac:dyDescent="0.2">
      <c r="A17" s="12">
        <v>220</v>
      </c>
      <c r="B17" s="13">
        <v>406</v>
      </c>
      <c r="C17" s="14">
        <v>0.62</v>
      </c>
      <c r="D17" s="15">
        <v>0.62</v>
      </c>
      <c r="E17" s="15">
        <v>0.38</v>
      </c>
      <c r="F17" s="15">
        <v>0.34</v>
      </c>
      <c r="G17" s="15">
        <v>0</v>
      </c>
      <c r="H17" s="15">
        <v>0.02</v>
      </c>
      <c r="I17" s="15">
        <v>0.02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3">
        <v>0</v>
      </c>
    </row>
    <row r="18" spans="1:21" ht="15" x14ac:dyDescent="0.2">
      <c r="A18" s="12">
        <v>270</v>
      </c>
      <c r="B18" s="13">
        <v>424</v>
      </c>
      <c r="C18" s="14">
        <v>0.63</v>
      </c>
      <c r="D18" s="15">
        <v>0.63</v>
      </c>
      <c r="E18" s="15">
        <v>0.37</v>
      </c>
      <c r="F18" s="15">
        <v>0.33</v>
      </c>
      <c r="G18" s="15">
        <v>0</v>
      </c>
      <c r="H18" s="15">
        <v>0.02</v>
      </c>
      <c r="I18" s="15">
        <v>0.02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3">
        <v>0</v>
      </c>
    </row>
    <row r="19" spans="1:21" ht="15" x14ac:dyDescent="0.2">
      <c r="A19" s="12">
        <v>281</v>
      </c>
      <c r="B19" s="13">
        <v>430</v>
      </c>
      <c r="C19" s="14">
        <v>0.64</v>
      </c>
      <c r="D19" s="15">
        <v>0.64</v>
      </c>
      <c r="E19" s="15">
        <v>0.36</v>
      </c>
      <c r="F19" s="15">
        <v>0.32</v>
      </c>
      <c r="G19" s="15">
        <v>0</v>
      </c>
      <c r="H19" s="15">
        <v>0.02</v>
      </c>
      <c r="I19" s="15">
        <v>0.02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3">
        <v>0</v>
      </c>
    </row>
    <row r="20" spans="1:21" ht="15" x14ac:dyDescent="0.2">
      <c r="A20" s="12">
        <v>230</v>
      </c>
      <c r="B20" s="13">
        <v>438</v>
      </c>
      <c r="C20" s="14">
        <v>0.65</v>
      </c>
      <c r="D20" s="15">
        <v>0.65</v>
      </c>
      <c r="E20" s="15">
        <v>0.35</v>
      </c>
      <c r="F20" s="15">
        <v>0.31</v>
      </c>
      <c r="G20" s="15">
        <v>0</v>
      </c>
      <c r="H20" s="15">
        <v>0.02</v>
      </c>
      <c r="I20" s="15">
        <v>0.02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3">
        <v>0</v>
      </c>
    </row>
    <row r="21" spans="1:21" ht="15" x14ac:dyDescent="0.2">
      <c r="A21" s="12">
        <v>190</v>
      </c>
      <c r="B21" s="13">
        <v>445</v>
      </c>
      <c r="C21" s="14">
        <v>0.66</v>
      </c>
      <c r="D21" s="15">
        <v>0.66</v>
      </c>
      <c r="E21" s="15">
        <v>0.33999999999999997</v>
      </c>
      <c r="F21" s="15">
        <v>0.3</v>
      </c>
      <c r="G21" s="15">
        <v>0</v>
      </c>
      <c r="H21" s="15">
        <v>0.02</v>
      </c>
      <c r="I21" s="15">
        <v>0.02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3">
        <v>0</v>
      </c>
    </row>
    <row r="22" spans="1:21" ht="15" x14ac:dyDescent="0.2">
      <c r="A22" s="12">
        <v>161</v>
      </c>
      <c r="B22" s="13">
        <v>456</v>
      </c>
      <c r="C22" s="14">
        <v>0.67</v>
      </c>
      <c r="D22" s="15">
        <v>0.67</v>
      </c>
      <c r="E22" s="15">
        <v>0.32999999999999996</v>
      </c>
      <c r="F22" s="15">
        <v>0.28999999999999998</v>
      </c>
      <c r="G22" s="15">
        <v>0</v>
      </c>
      <c r="H22" s="15">
        <v>0.02</v>
      </c>
      <c r="I22" s="15">
        <v>0.02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3">
        <v>0</v>
      </c>
    </row>
    <row r="23" spans="1:21" ht="15" x14ac:dyDescent="0.2">
      <c r="A23" s="12">
        <v>170</v>
      </c>
      <c r="B23" s="13">
        <v>460</v>
      </c>
      <c r="C23" s="14">
        <v>0.69299999999999995</v>
      </c>
      <c r="D23" s="15">
        <v>0.69799999999999995</v>
      </c>
      <c r="E23" s="15">
        <v>0.307</v>
      </c>
      <c r="F23" s="15">
        <v>0.29699999999999999</v>
      </c>
      <c r="G23" s="15">
        <v>0</v>
      </c>
      <c r="H23" s="15">
        <v>0</v>
      </c>
      <c r="I23" s="15">
        <v>0</v>
      </c>
      <c r="J23" s="15">
        <v>5.0000000000000001E-3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3">
        <v>0</v>
      </c>
    </row>
    <row r="24" spans="1:21" ht="15" x14ac:dyDescent="0.2">
      <c r="A24" s="12">
        <v>180</v>
      </c>
      <c r="B24" s="13">
        <v>450</v>
      </c>
      <c r="C24" s="14">
        <v>0.67319999999999991</v>
      </c>
      <c r="D24" s="15">
        <v>0.67819999999999991</v>
      </c>
      <c r="E24" s="15">
        <v>0.32680000000000003</v>
      </c>
      <c r="F24" s="15">
        <v>0.31680000000000003</v>
      </c>
      <c r="G24" s="15">
        <v>0</v>
      </c>
      <c r="H24" s="15">
        <v>0</v>
      </c>
      <c r="I24" s="15">
        <v>0</v>
      </c>
      <c r="J24" s="15">
        <v>5.0000000000000001E-3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3">
        <v>0</v>
      </c>
    </row>
    <row r="25" spans="1:21" ht="15" x14ac:dyDescent="0.2">
      <c r="A25" s="12">
        <v>250</v>
      </c>
      <c r="B25" s="13">
        <v>435</v>
      </c>
      <c r="C25" s="14">
        <v>0.65339999999999987</v>
      </c>
      <c r="D25" s="15">
        <v>0.65839999999999987</v>
      </c>
      <c r="E25" s="15">
        <v>0.34660000000000002</v>
      </c>
      <c r="F25" s="15">
        <v>0.33660000000000001</v>
      </c>
      <c r="G25" s="15">
        <v>0</v>
      </c>
      <c r="H25" s="15">
        <v>0</v>
      </c>
      <c r="I25" s="15">
        <v>0</v>
      </c>
      <c r="J25" s="15">
        <v>5.0000000000000001E-3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3">
        <v>0</v>
      </c>
    </row>
    <row r="26" spans="1:21" ht="15" x14ac:dyDescent="0.2">
      <c r="A26" s="12">
        <v>390</v>
      </c>
      <c r="B26" s="13">
        <v>430</v>
      </c>
      <c r="C26" s="14">
        <v>0.64349999999999996</v>
      </c>
      <c r="D26" s="15">
        <v>0.64849999999999997</v>
      </c>
      <c r="E26" s="15">
        <v>0.35649999999999998</v>
      </c>
      <c r="F26" s="15">
        <v>0.34649999999999997</v>
      </c>
      <c r="G26" s="15">
        <v>0</v>
      </c>
      <c r="H26" s="15">
        <v>0</v>
      </c>
      <c r="I26" s="15">
        <v>0</v>
      </c>
      <c r="J26" s="15">
        <v>5.0000000000000001E-3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3">
        <v>0</v>
      </c>
    </row>
    <row r="27" spans="1:21" ht="15" x14ac:dyDescent="0.2">
      <c r="A27" s="12">
        <v>500</v>
      </c>
      <c r="B27" s="13">
        <v>420</v>
      </c>
      <c r="C27" s="14">
        <v>0.63360000000000005</v>
      </c>
      <c r="D27" s="15">
        <v>0.63860000000000006</v>
      </c>
      <c r="E27" s="15">
        <v>0.3664</v>
      </c>
      <c r="F27" s="15">
        <v>0.35639999999999999</v>
      </c>
      <c r="G27" s="15">
        <v>0</v>
      </c>
      <c r="H27" s="15">
        <v>0</v>
      </c>
      <c r="I27" s="15">
        <v>0</v>
      </c>
      <c r="J27" s="15">
        <v>5.0000000000000001E-3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3">
        <v>0</v>
      </c>
    </row>
    <row r="28" spans="1:21" ht="15" x14ac:dyDescent="0.2">
      <c r="A28" s="12">
        <v>400</v>
      </c>
      <c r="B28" s="13">
        <v>415</v>
      </c>
      <c r="C28" s="14">
        <v>0.62370000000000003</v>
      </c>
      <c r="D28" s="15">
        <v>0.62870000000000004</v>
      </c>
      <c r="E28" s="15">
        <v>0.37630000000000002</v>
      </c>
      <c r="F28" s="15">
        <v>0.36630000000000001</v>
      </c>
      <c r="G28" s="15">
        <v>0</v>
      </c>
      <c r="H28" s="15">
        <v>0</v>
      </c>
      <c r="I28" s="15">
        <v>0</v>
      </c>
      <c r="J28" s="15">
        <v>5.0000000000000001E-3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3">
        <v>0</v>
      </c>
    </row>
    <row r="29" spans="1:21" ht="15" x14ac:dyDescent="0.2">
      <c r="A29" s="12">
        <v>325</v>
      </c>
      <c r="B29" s="13">
        <v>410</v>
      </c>
      <c r="C29" s="14">
        <v>0.61380000000000001</v>
      </c>
      <c r="D29" s="15">
        <v>0.61880000000000002</v>
      </c>
      <c r="E29" s="15">
        <v>0.38619999999999999</v>
      </c>
      <c r="F29" s="15">
        <v>0.37619999999999998</v>
      </c>
      <c r="G29" s="15">
        <v>0</v>
      </c>
      <c r="H29" s="15">
        <v>0</v>
      </c>
      <c r="I29" s="15">
        <v>0</v>
      </c>
      <c r="J29" s="15">
        <v>5.0000000000000001E-3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3">
        <v>0</v>
      </c>
    </row>
    <row r="30" spans="1:21" ht="15" x14ac:dyDescent="0.2">
      <c r="A30" s="12">
        <v>250</v>
      </c>
      <c r="B30" s="13">
        <v>400</v>
      </c>
      <c r="C30" s="14">
        <v>0.59399999999999997</v>
      </c>
      <c r="D30" s="15">
        <v>0.59899999999999998</v>
      </c>
      <c r="E30" s="15">
        <v>0.40600000000000003</v>
      </c>
      <c r="F30" s="15">
        <v>0.39600000000000002</v>
      </c>
      <c r="G30" s="15">
        <v>0</v>
      </c>
      <c r="H30" s="15">
        <v>0</v>
      </c>
      <c r="I30" s="15">
        <v>0</v>
      </c>
      <c r="J30" s="15">
        <v>5.0000000000000001E-3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3">
        <v>0</v>
      </c>
    </row>
    <row r="31" spans="1:21" ht="15" x14ac:dyDescent="0.2">
      <c r="A31" s="12">
        <v>460</v>
      </c>
      <c r="B31" s="13">
        <v>435</v>
      </c>
      <c r="C31" s="14">
        <v>0.64</v>
      </c>
      <c r="D31" s="15">
        <v>0.64</v>
      </c>
      <c r="E31" s="15">
        <v>0.36</v>
      </c>
      <c r="F31" s="15">
        <v>0.36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3">
        <v>0</v>
      </c>
    </row>
    <row r="32" spans="1:21" ht="15" x14ac:dyDescent="0.2">
      <c r="A32" s="12">
        <v>480</v>
      </c>
      <c r="B32" s="13">
        <v>430</v>
      </c>
      <c r="C32" s="14">
        <v>0.63680000000000003</v>
      </c>
      <c r="D32" s="15">
        <v>0.63929999999999998</v>
      </c>
      <c r="E32" s="15">
        <v>0.36319999999999997</v>
      </c>
      <c r="F32" s="15">
        <v>0.35819999999999996</v>
      </c>
      <c r="G32" s="15">
        <v>0</v>
      </c>
      <c r="H32" s="15">
        <v>0</v>
      </c>
      <c r="I32" s="15">
        <v>0</v>
      </c>
      <c r="J32" s="15">
        <v>2.5000000000000001E-3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3">
        <v>0</v>
      </c>
    </row>
    <row r="33" spans="1:21" ht="15" x14ac:dyDescent="0.2">
      <c r="A33" s="12">
        <v>520</v>
      </c>
      <c r="B33" s="13">
        <v>426</v>
      </c>
      <c r="C33" s="14">
        <v>0.63360000000000005</v>
      </c>
      <c r="D33" s="15">
        <v>0.63860000000000006</v>
      </c>
      <c r="E33" s="15">
        <v>0.3664</v>
      </c>
      <c r="F33" s="15">
        <v>0.35639999999999999</v>
      </c>
      <c r="G33" s="15">
        <v>0</v>
      </c>
      <c r="H33" s="15">
        <v>0</v>
      </c>
      <c r="I33" s="15">
        <v>0</v>
      </c>
      <c r="J33" s="15">
        <v>5.0000000000000001E-3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3">
        <v>0</v>
      </c>
    </row>
    <row r="34" spans="1:21" ht="15" x14ac:dyDescent="0.2">
      <c r="A34" s="12">
        <v>480</v>
      </c>
      <c r="B34" s="13">
        <v>425</v>
      </c>
      <c r="C34" s="14">
        <v>0.62719999999999998</v>
      </c>
      <c r="D34" s="15">
        <v>0.63719999999999999</v>
      </c>
      <c r="E34" s="15">
        <v>0.37280000000000002</v>
      </c>
      <c r="F34" s="15">
        <v>0.3528</v>
      </c>
      <c r="G34" s="15">
        <v>0</v>
      </c>
      <c r="H34" s="15">
        <v>0</v>
      </c>
      <c r="I34" s="15">
        <v>0</v>
      </c>
      <c r="J34" s="15">
        <v>0.01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3">
        <v>0</v>
      </c>
    </row>
    <row r="35" spans="1:21" ht="15" x14ac:dyDescent="0.2">
      <c r="A35" s="12">
        <v>475</v>
      </c>
      <c r="B35" s="13">
        <v>424</v>
      </c>
      <c r="C35" s="14">
        <v>0.62080000000000002</v>
      </c>
      <c r="D35" s="15">
        <v>0.63580000000000003</v>
      </c>
      <c r="E35" s="15">
        <v>0.37919999999999998</v>
      </c>
      <c r="F35" s="15">
        <v>0.34919999999999995</v>
      </c>
      <c r="G35" s="15">
        <v>0</v>
      </c>
      <c r="H35" s="15">
        <v>0</v>
      </c>
      <c r="I35" s="15">
        <v>0</v>
      </c>
      <c r="J35" s="15">
        <v>1.4999999999999999E-2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3">
        <v>0</v>
      </c>
    </row>
    <row r="36" spans="1:21" ht="15" x14ac:dyDescent="0.2">
      <c r="A36" s="12">
        <v>470</v>
      </c>
      <c r="B36" s="13">
        <v>424</v>
      </c>
      <c r="C36" s="14">
        <v>0.61439999999999995</v>
      </c>
      <c r="D36" s="15">
        <v>0.63439999999999996</v>
      </c>
      <c r="E36" s="15">
        <v>0.38559999999999994</v>
      </c>
      <c r="F36" s="15">
        <v>0.34559999999999996</v>
      </c>
      <c r="G36" s="15">
        <v>0</v>
      </c>
      <c r="H36" s="15">
        <v>0</v>
      </c>
      <c r="I36" s="15">
        <v>0</v>
      </c>
      <c r="J36" s="15">
        <v>0.02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3">
        <v>0</v>
      </c>
    </row>
    <row r="37" spans="1:21" ht="15" x14ac:dyDescent="0.2">
      <c r="A37" s="12">
        <v>440</v>
      </c>
      <c r="B37" s="13">
        <v>415</v>
      </c>
      <c r="C37" s="14">
        <v>0.60799999999999998</v>
      </c>
      <c r="D37" s="15">
        <v>0.63300000000000001</v>
      </c>
      <c r="E37" s="15">
        <v>0.39199999999999996</v>
      </c>
      <c r="F37" s="15">
        <v>0.34199999999999997</v>
      </c>
      <c r="G37" s="15">
        <v>0</v>
      </c>
      <c r="H37" s="15">
        <v>0</v>
      </c>
      <c r="I37" s="15">
        <v>0</v>
      </c>
      <c r="J37" s="15">
        <v>2.5000000000000001E-2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3">
        <v>0</v>
      </c>
    </row>
    <row r="38" spans="1:21" ht="15" x14ac:dyDescent="0.2">
      <c r="A38" s="12">
        <v>420</v>
      </c>
      <c r="B38" s="13">
        <v>410</v>
      </c>
      <c r="C38" s="14">
        <v>0.59519999999999995</v>
      </c>
      <c r="D38" s="15">
        <v>0.63019999999999998</v>
      </c>
      <c r="E38" s="15">
        <v>0.40479999999999999</v>
      </c>
      <c r="F38" s="15">
        <v>0.33479999999999999</v>
      </c>
      <c r="G38" s="15">
        <v>0</v>
      </c>
      <c r="H38" s="15">
        <v>0</v>
      </c>
      <c r="I38" s="15">
        <v>0</v>
      </c>
      <c r="J38" s="15">
        <v>3.5000000000000003E-2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3">
        <v>0</v>
      </c>
    </row>
    <row r="39" spans="1:21" ht="15" x14ac:dyDescent="0.2">
      <c r="A39" s="12">
        <v>127</v>
      </c>
      <c r="B39" s="13">
        <v>365</v>
      </c>
      <c r="C39" s="14">
        <v>0.6</v>
      </c>
      <c r="D39" s="15">
        <v>0.75</v>
      </c>
      <c r="E39" s="15">
        <v>4</v>
      </c>
      <c r="F39" s="15">
        <v>0.1</v>
      </c>
      <c r="G39" s="15">
        <v>0.15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3">
        <v>0</v>
      </c>
    </row>
    <row r="40" spans="1:21" ht="15" x14ac:dyDescent="0.2">
      <c r="A40" s="12">
        <v>304</v>
      </c>
      <c r="B40" s="13">
        <v>380</v>
      </c>
      <c r="C40" s="14">
        <v>0.6</v>
      </c>
      <c r="D40" s="15">
        <v>0.65</v>
      </c>
      <c r="E40" s="15">
        <v>0.4</v>
      </c>
      <c r="F40" s="15">
        <v>0.3</v>
      </c>
      <c r="G40" s="15">
        <v>0.05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3">
        <v>0</v>
      </c>
    </row>
    <row r="41" spans="1:21" ht="15" x14ac:dyDescent="0.2">
      <c r="A41" s="12">
        <v>331</v>
      </c>
      <c r="B41" s="13">
        <v>400</v>
      </c>
      <c r="C41" s="14">
        <v>0.6</v>
      </c>
      <c r="D41" s="15">
        <v>0.625</v>
      </c>
      <c r="E41" s="15">
        <v>0.4</v>
      </c>
      <c r="F41" s="15">
        <v>0.35</v>
      </c>
      <c r="G41" s="15">
        <v>2.5000000000000001E-2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3">
        <v>0</v>
      </c>
    </row>
    <row r="42" spans="1:21" ht="15" x14ac:dyDescent="0.2">
      <c r="A42" s="12">
        <v>430</v>
      </c>
      <c r="B42" s="13">
        <v>406</v>
      </c>
      <c r="C42" s="14">
        <v>0.6</v>
      </c>
      <c r="D42" s="15">
        <v>0.6</v>
      </c>
      <c r="E42" s="15">
        <v>0.39999999999999997</v>
      </c>
      <c r="F42" s="15">
        <v>0.35</v>
      </c>
      <c r="G42" s="15">
        <v>0</v>
      </c>
      <c r="H42" s="15">
        <v>2.5000000000000001E-2</v>
      </c>
      <c r="I42" s="15">
        <v>0</v>
      </c>
      <c r="J42" s="15">
        <v>2.5000000000000001E-2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3">
        <v>0</v>
      </c>
    </row>
    <row r="43" spans="1:21" ht="15" x14ac:dyDescent="0.2">
      <c r="A43" s="12">
        <v>534</v>
      </c>
      <c r="B43" s="13">
        <v>422</v>
      </c>
      <c r="C43" s="14">
        <v>0.6</v>
      </c>
      <c r="D43" s="15">
        <v>0.6</v>
      </c>
      <c r="E43" s="15">
        <v>0.4</v>
      </c>
      <c r="F43" s="15">
        <v>0.375</v>
      </c>
      <c r="G43" s="15">
        <v>0</v>
      </c>
      <c r="H43" s="15">
        <v>1.2500000000000001E-2</v>
      </c>
      <c r="I43" s="15">
        <v>0</v>
      </c>
      <c r="J43" s="15">
        <v>1.2500000000000001E-2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3">
        <v>0</v>
      </c>
    </row>
    <row r="44" spans="1:21" ht="15" x14ac:dyDescent="0.2">
      <c r="A44" s="12">
        <v>372</v>
      </c>
      <c r="B44" s="13">
        <v>397</v>
      </c>
      <c r="C44" s="14">
        <v>0.6</v>
      </c>
      <c r="D44" s="15">
        <v>0.6</v>
      </c>
      <c r="E44" s="15">
        <v>0.4</v>
      </c>
      <c r="F44" s="15">
        <v>0.32500000000000001</v>
      </c>
      <c r="G44" s="15">
        <v>0</v>
      </c>
      <c r="H44" s="15">
        <v>3.7499999999999999E-2</v>
      </c>
      <c r="I44" s="15">
        <v>0</v>
      </c>
      <c r="J44" s="15">
        <v>3.7499999999999999E-2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3">
        <v>0</v>
      </c>
    </row>
    <row r="45" spans="1:21" ht="15" x14ac:dyDescent="0.2">
      <c r="A45" s="12">
        <v>520</v>
      </c>
      <c r="B45" s="13">
        <v>429</v>
      </c>
      <c r="C45" s="14">
        <v>0.625</v>
      </c>
      <c r="D45" s="15">
        <v>0.625</v>
      </c>
      <c r="E45" s="15">
        <v>0.375</v>
      </c>
      <c r="F45" s="15">
        <v>0.35</v>
      </c>
      <c r="G45" s="15">
        <v>0</v>
      </c>
      <c r="H45" s="15">
        <v>1.2500000000000001E-2</v>
      </c>
      <c r="I45" s="15">
        <v>0</v>
      </c>
      <c r="J45" s="15">
        <v>1.2500000000000001E-2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3">
        <v>0</v>
      </c>
    </row>
    <row r="46" spans="1:21" ht="15" x14ac:dyDescent="0.2">
      <c r="A46" s="12">
        <v>440</v>
      </c>
      <c r="B46" s="13">
        <v>445</v>
      </c>
      <c r="C46" s="14">
        <v>0.61439999999999995</v>
      </c>
      <c r="D46" s="15">
        <v>0.61439999999999995</v>
      </c>
      <c r="E46" s="15">
        <v>0.38559999999999994</v>
      </c>
      <c r="F46" s="15">
        <v>0.34559999999999996</v>
      </c>
      <c r="G46" s="15">
        <v>0</v>
      </c>
      <c r="H46" s="15">
        <v>0</v>
      </c>
      <c r="I46" s="15">
        <v>0</v>
      </c>
      <c r="J46" s="15">
        <v>0</v>
      </c>
      <c r="K46" s="15">
        <v>0.04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3">
        <v>0</v>
      </c>
    </row>
    <row r="47" spans="1:21" ht="15" x14ac:dyDescent="0.2">
      <c r="A47" s="12">
        <v>425</v>
      </c>
      <c r="B47" s="13">
        <v>435</v>
      </c>
      <c r="C47" s="14">
        <v>0.60160000000000002</v>
      </c>
      <c r="D47" s="15">
        <v>0.60160000000000002</v>
      </c>
      <c r="E47" s="15">
        <v>0.39839999999999998</v>
      </c>
      <c r="F47" s="15">
        <v>0.33839999999999998</v>
      </c>
      <c r="G47" s="15">
        <v>0</v>
      </c>
      <c r="H47" s="15">
        <v>0</v>
      </c>
      <c r="I47" s="15">
        <v>0</v>
      </c>
      <c r="J47" s="15">
        <v>0</v>
      </c>
      <c r="K47" s="15">
        <v>0.06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3">
        <v>0</v>
      </c>
    </row>
    <row r="48" spans="1:21" ht="15" x14ac:dyDescent="0.2">
      <c r="A48" s="12">
        <v>400</v>
      </c>
      <c r="B48" s="13">
        <v>453</v>
      </c>
      <c r="C48" s="14">
        <v>0.58879999999999999</v>
      </c>
      <c r="D48" s="15">
        <v>0.58879999999999999</v>
      </c>
      <c r="E48" s="15">
        <v>0.41120000000000001</v>
      </c>
      <c r="F48" s="15">
        <v>0.33119999999999999</v>
      </c>
      <c r="G48" s="15">
        <v>0</v>
      </c>
      <c r="H48" s="15">
        <v>0</v>
      </c>
      <c r="I48" s="15">
        <v>0</v>
      </c>
      <c r="J48" s="15">
        <v>0</v>
      </c>
      <c r="K48" s="15">
        <v>0.08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3">
        <v>0</v>
      </c>
    </row>
    <row r="49" spans="1:21" ht="15" x14ac:dyDescent="0.2">
      <c r="A49" s="12">
        <v>350</v>
      </c>
      <c r="B49" s="13">
        <v>472</v>
      </c>
      <c r="C49" s="14">
        <v>0.6</v>
      </c>
      <c r="D49" s="15">
        <v>0.6</v>
      </c>
      <c r="E49" s="15">
        <v>0.4</v>
      </c>
      <c r="F49" s="15">
        <v>0.32500000000000001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7.4999999999999997E-2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3">
        <v>0</v>
      </c>
    </row>
    <row r="50" spans="1:21" ht="15" x14ac:dyDescent="0.2">
      <c r="A50" s="12">
        <v>274</v>
      </c>
      <c r="B50" s="13">
        <v>482</v>
      </c>
      <c r="C50" s="14">
        <v>0.57999999999999996</v>
      </c>
      <c r="D50" s="15">
        <v>0.57999999999999996</v>
      </c>
      <c r="E50" s="15">
        <v>0.42000000000000004</v>
      </c>
      <c r="F50" s="15">
        <v>0.30500000000000005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0.115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3">
        <v>0</v>
      </c>
    </row>
    <row r="51" spans="1:21" ht="15" x14ac:dyDescent="0.2">
      <c r="A51" s="12">
        <v>332</v>
      </c>
      <c r="B51" s="13">
        <v>454</v>
      </c>
      <c r="C51" s="14">
        <v>0.61</v>
      </c>
      <c r="D51" s="15">
        <v>0.61</v>
      </c>
      <c r="E51" s="15">
        <v>0.39</v>
      </c>
      <c r="F51" s="15">
        <v>0.35000000000000003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0.04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3">
        <v>0</v>
      </c>
    </row>
    <row r="52" spans="1:21" ht="15" x14ac:dyDescent="0.2">
      <c r="A52" s="12">
        <v>418</v>
      </c>
      <c r="B52" s="13">
        <v>459</v>
      </c>
      <c r="C52" s="14">
        <v>0.62</v>
      </c>
      <c r="D52" s="15">
        <v>0.62</v>
      </c>
      <c r="E52" s="15">
        <v>0.38</v>
      </c>
      <c r="F52" s="15">
        <v>0.34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0.04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3">
        <v>0</v>
      </c>
    </row>
    <row r="53" spans="1:21" ht="15" x14ac:dyDescent="0.2">
      <c r="A53" s="12">
        <v>310</v>
      </c>
      <c r="B53" s="13">
        <v>467</v>
      </c>
      <c r="C53" s="14">
        <v>0.63</v>
      </c>
      <c r="D53" s="15">
        <v>0.63</v>
      </c>
      <c r="E53" s="15">
        <v>0.37</v>
      </c>
      <c r="F53" s="15">
        <v>0.33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0.04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3">
        <v>0</v>
      </c>
    </row>
    <row r="54" spans="1:21" ht="15" x14ac:dyDescent="0.2">
      <c r="A54" s="12">
        <v>220</v>
      </c>
      <c r="B54" s="13">
        <v>460</v>
      </c>
      <c r="C54" s="14">
        <v>0.57999999999999996</v>
      </c>
      <c r="D54" s="15">
        <v>0.57999999999999996</v>
      </c>
      <c r="E54" s="15">
        <v>0.42000000000000004</v>
      </c>
      <c r="F54" s="15">
        <v>0.34500000000000003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7.4999999999999997E-2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3">
        <v>0</v>
      </c>
    </row>
    <row r="55" spans="1:21" ht="15" x14ac:dyDescent="0.2">
      <c r="A55" s="12">
        <v>350</v>
      </c>
      <c r="B55" s="13">
        <v>472</v>
      </c>
      <c r="C55" s="14">
        <v>0.6</v>
      </c>
      <c r="D55" s="15">
        <v>0.6</v>
      </c>
      <c r="E55" s="15">
        <v>0.4</v>
      </c>
      <c r="F55" s="15">
        <v>0.32500000000000001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7.4999999999999997E-2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3">
        <v>0</v>
      </c>
    </row>
    <row r="56" spans="1:21" ht="15" x14ac:dyDescent="0.2">
      <c r="A56" s="12">
        <v>190</v>
      </c>
      <c r="B56" s="13">
        <v>476</v>
      </c>
      <c r="C56" s="14">
        <v>0.62</v>
      </c>
      <c r="D56" s="15">
        <v>0.62</v>
      </c>
      <c r="E56" s="15">
        <v>0.38</v>
      </c>
      <c r="F56" s="15">
        <v>0.30499999999999999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7.4999999999999997E-2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3">
        <v>0</v>
      </c>
    </row>
    <row r="57" spans="1:21" ht="15" x14ac:dyDescent="0.2">
      <c r="A57" s="12">
        <v>274</v>
      </c>
      <c r="B57" s="13">
        <v>482</v>
      </c>
      <c r="C57" s="14">
        <v>0.57999999999999996</v>
      </c>
      <c r="D57" s="15">
        <v>0.57999999999999996</v>
      </c>
      <c r="E57" s="15">
        <v>0.42000000000000004</v>
      </c>
      <c r="F57" s="15">
        <v>0.30500000000000005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0.115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3">
        <v>0</v>
      </c>
    </row>
    <row r="58" spans="1:21" ht="15" x14ac:dyDescent="0.2">
      <c r="A58" s="12">
        <v>96</v>
      </c>
      <c r="B58" s="13">
        <v>505</v>
      </c>
      <c r="C58" s="14">
        <v>0.62</v>
      </c>
      <c r="D58" s="15">
        <v>0.62</v>
      </c>
      <c r="E58" s="15">
        <v>0.38</v>
      </c>
      <c r="F58" s="15">
        <v>0.23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0.15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3">
        <v>0</v>
      </c>
    </row>
    <row r="59" spans="1:21" ht="15" x14ac:dyDescent="0.2">
      <c r="A59" s="12">
        <v>290</v>
      </c>
      <c r="B59" s="13">
        <v>416</v>
      </c>
      <c r="C59" s="14">
        <v>0.62</v>
      </c>
      <c r="D59" s="15">
        <v>0.61</v>
      </c>
      <c r="E59" s="15">
        <v>0.38</v>
      </c>
      <c r="F59" s="15">
        <v>0.38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5.0000000000000001E-3</v>
      </c>
      <c r="N59" s="15">
        <v>5.0000000000000001E-3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3">
        <v>0</v>
      </c>
    </row>
    <row r="60" spans="1:21" ht="15" x14ac:dyDescent="0.2">
      <c r="A60" s="12">
        <v>325</v>
      </c>
      <c r="B60" s="13">
        <v>421</v>
      </c>
      <c r="C60" s="14">
        <v>0.63</v>
      </c>
      <c r="D60" s="15">
        <v>0.62</v>
      </c>
      <c r="E60" s="15">
        <v>0.37</v>
      </c>
      <c r="F60" s="15">
        <v>0.37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5.0000000000000001E-3</v>
      </c>
      <c r="N60" s="15">
        <v>5.0000000000000001E-3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3">
        <v>0</v>
      </c>
    </row>
    <row r="61" spans="1:21" ht="15" x14ac:dyDescent="0.2">
      <c r="A61" s="12">
        <v>341</v>
      </c>
      <c r="B61" s="13">
        <v>423</v>
      </c>
      <c r="C61" s="14">
        <v>0.63500000000000001</v>
      </c>
      <c r="D61" s="15">
        <v>0.625</v>
      </c>
      <c r="E61" s="15">
        <v>0.36499999999999999</v>
      </c>
      <c r="F61" s="15">
        <v>0.36499999999999999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5.0000000000000001E-3</v>
      </c>
      <c r="N61" s="15">
        <v>5.0000000000000001E-3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3">
        <v>0</v>
      </c>
    </row>
    <row r="62" spans="1:21" ht="15" x14ac:dyDescent="0.2">
      <c r="A62" s="12">
        <v>345</v>
      </c>
      <c r="B62" s="13">
        <v>429</v>
      </c>
      <c r="C62" s="14">
        <v>0.64</v>
      </c>
      <c r="D62" s="15">
        <v>0.63</v>
      </c>
      <c r="E62" s="15">
        <v>0.36</v>
      </c>
      <c r="F62" s="15">
        <v>0.36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5.0000000000000001E-3</v>
      </c>
      <c r="N62" s="15">
        <v>5.0000000000000001E-3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3">
        <v>0</v>
      </c>
    </row>
    <row r="63" spans="1:21" ht="15" x14ac:dyDescent="0.2">
      <c r="A63" s="12">
        <v>296</v>
      </c>
      <c r="B63" s="13">
        <v>435</v>
      </c>
      <c r="C63" s="14">
        <v>0.64500000000000002</v>
      </c>
      <c r="D63" s="15">
        <v>0.63500000000000001</v>
      </c>
      <c r="E63" s="15">
        <v>0.35499999999999998</v>
      </c>
      <c r="F63" s="15">
        <v>0.35499999999999998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5.0000000000000001E-3</v>
      </c>
      <c r="N63" s="15">
        <v>5.0000000000000001E-3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3">
        <v>0</v>
      </c>
    </row>
    <row r="64" spans="1:21" ht="15" x14ac:dyDescent="0.2">
      <c r="A64" s="12">
        <v>250</v>
      </c>
      <c r="B64" s="13">
        <v>437</v>
      </c>
      <c r="C64" s="14">
        <v>0.65</v>
      </c>
      <c r="D64" s="15">
        <v>0.64</v>
      </c>
      <c r="E64" s="15">
        <v>0.35</v>
      </c>
      <c r="F64" s="15">
        <v>0.35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5.0000000000000001E-3</v>
      </c>
      <c r="N64" s="15">
        <v>5.0000000000000001E-3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3">
        <v>0</v>
      </c>
    </row>
    <row r="65" spans="1:21" ht="15" x14ac:dyDescent="0.2">
      <c r="A65" s="12">
        <v>268</v>
      </c>
      <c r="B65" s="13">
        <v>416</v>
      </c>
      <c r="C65" s="14">
        <v>0.64</v>
      </c>
      <c r="D65" s="15">
        <v>0.62</v>
      </c>
      <c r="E65" s="15">
        <v>0.36</v>
      </c>
      <c r="F65" s="15">
        <v>0.36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0.01</v>
      </c>
      <c r="N65" s="15">
        <v>0.01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3">
        <v>0</v>
      </c>
    </row>
    <row r="66" spans="1:21" ht="15" x14ac:dyDescent="0.2">
      <c r="A66" s="12">
        <v>372</v>
      </c>
      <c r="B66" s="13">
        <v>422</v>
      </c>
      <c r="C66" s="14">
        <v>0.64500000000000002</v>
      </c>
      <c r="D66" s="15">
        <v>0.625</v>
      </c>
      <c r="E66" s="15">
        <v>0.35499999999999998</v>
      </c>
      <c r="F66" s="15">
        <v>0.35499999999999998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0.01</v>
      </c>
      <c r="N66" s="15">
        <v>0.01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3">
        <v>0</v>
      </c>
    </row>
    <row r="67" spans="1:21" ht="15" x14ac:dyDescent="0.2">
      <c r="A67" s="12">
        <v>303</v>
      </c>
      <c r="B67" s="13">
        <v>424</v>
      </c>
      <c r="C67" s="14">
        <v>0.65</v>
      </c>
      <c r="D67" s="15">
        <v>0.63</v>
      </c>
      <c r="E67" s="15">
        <v>0.35</v>
      </c>
      <c r="F67" s="15">
        <v>0.35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0.01</v>
      </c>
      <c r="N67" s="15">
        <v>0.01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3">
        <v>0</v>
      </c>
    </row>
    <row r="68" spans="1:21" ht="15" x14ac:dyDescent="0.2">
      <c r="A68" s="12">
        <v>265</v>
      </c>
      <c r="B68" s="13">
        <v>393</v>
      </c>
      <c r="C68" s="14">
        <v>0.61</v>
      </c>
      <c r="D68" s="15">
        <v>0.57999999999999996</v>
      </c>
      <c r="E68" s="15">
        <v>0.39</v>
      </c>
      <c r="F68" s="15">
        <v>0.39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1.4999999999999999E-2</v>
      </c>
      <c r="N68" s="15">
        <v>1.4999999999999999E-2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3">
        <v>0</v>
      </c>
    </row>
    <row r="69" spans="1:21" ht="15" x14ac:dyDescent="0.2">
      <c r="A69" s="12">
        <v>318</v>
      </c>
      <c r="B69" s="13">
        <v>394</v>
      </c>
      <c r="C69" s="14">
        <v>0.63</v>
      </c>
      <c r="D69" s="15">
        <v>0.6</v>
      </c>
      <c r="E69" s="15">
        <v>0.37</v>
      </c>
      <c r="F69" s="15">
        <v>0.37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1.4999999999999999E-2</v>
      </c>
      <c r="N69" s="15">
        <v>1.4999999999999999E-2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3">
        <v>0</v>
      </c>
    </row>
    <row r="70" spans="1:21" ht="15" x14ac:dyDescent="0.2">
      <c r="A70" s="12">
        <v>317</v>
      </c>
      <c r="B70" s="13">
        <v>395</v>
      </c>
      <c r="C70" s="14">
        <v>0.64</v>
      </c>
      <c r="D70" s="15">
        <v>0.61</v>
      </c>
      <c r="E70" s="15">
        <v>0.36</v>
      </c>
      <c r="F70" s="15">
        <v>0.36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1.4999999999999999E-2</v>
      </c>
      <c r="N70" s="15">
        <v>1.4999999999999999E-2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3">
        <v>0</v>
      </c>
    </row>
    <row r="71" spans="1:21" ht="15" x14ac:dyDescent="0.2">
      <c r="A71" s="12">
        <v>492</v>
      </c>
      <c r="B71" s="13">
        <v>413</v>
      </c>
      <c r="C71" s="14">
        <v>0.65</v>
      </c>
      <c r="D71" s="15">
        <v>0.62</v>
      </c>
      <c r="E71" s="15">
        <v>0.35</v>
      </c>
      <c r="F71" s="15">
        <v>0.35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1.4999999999999999E-2</v>
      </c>
      <c r="N71" s="15">
        <v>1.4999999999999999E-2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3">
        <v>0</v>
      </c>
    </row>
    <row r="72" spans="1:21" ht="15" x14ac:dyDescent="0.2">
      <c r="A72" s="12">
        <v>194</v>
      </c>
      <c r="B72" s="13">
        <v>426</v>
      </c>
      <c r="C72" s="14">
        <v>0.66</v>
      </c>
      <c r="D72" s="15">
        <v>0.63</v>
      </c>
      <c r="E72" s="15">
        <v>0.33999999999999997</v>
      </c>
      <c r="F72" s="15">
        <v>0.33999999999999997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1.4999999999999999E-2</v>
      </c>
      <c r="N72" s="15">
        <v>1.4999999999999999E-2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3">
        <v>0</v>
      </c>
    </row>
    <row r="73" spans="1:21" ht="15" x14ac:dyDescent="0.2">
      <c r="A73" s="12">
        <v>125</v>
      </c>
      <c r="B73" s="13">
        <v>432</v>
      </c>
      <c r="C73" s="14">
        <v>0.67</v>
      </c>
      <c r="D73" s="15">
        <v>0.64</v>
      </c>
      <c r="E73" s="15">
        <v>0.32999999999999996</v>
      </c>
      <c r="F73" s="15">
        <v>0.32999999999999996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1.4999999999999999E-2</v>
      </c>
      <c r="N73" s="15">
        <v>1.4999999999999999E-2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3">
        <v>0</v>
      </c>
    </row>
    <row r="74" spans="1:21" ht="15" x14ac:dyDescent="0.2">
      <c r="A74" s="12">
        <v>270</v>
      </c>
      <c r="B74" s="13">
        <v>397</v>
      </c>
      <c r="C74" s="14">
        <v>0.64</v>
      </c>
      <c r="D74" s="15">
        <v>0.6</v>
      </c>
      <c r="E74" s="15">
        <v>0.36000000000000004</v>
      </c>
      <c r="F74" s="15">
        <v>0.36000000000000004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0.02</v>
      </c>
      <c r="N74" s="15">
        <v>0.02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3">
        <v>0</v>
      </c>
    </row>
    <row r="75" spans="1:21" ht="15" x14ac:dyDescent="0.2">
      <c r="A75" s="12">
        <v>340</v>
      </c>
      <c r="B75" s="13">
        <v>400</v>
      </c>
      <c r="C75" s="14">
        <v>0.64500000000000002</v>
      </c>
      <c r="D75" s="15">
        <v>0.60499999999999998</v>
      </c>
      <c r="E75" s="15">
        <v>0.35500000000000004</v>
      </c>
      <c r="F75" s="15">
        <v>0.35500000000000004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0.02</v>
      </c>
      <c r="N75" s="15">
        <v>0.02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3">
        <v>0</v>
      </c>
    </row>
    <row r="76" spans="1:21" ht="15" x14ac:dyDescent="0.2">
      <c r="A76" s="12">
        <v>358</v>
      </c>
      <c r="B76" s="13">
        <v>402</v>
      </c>
      <c r="C76" s="14">
        <v>0.65</v>
      </c>
      <c r="D76" s="15">
        <v>0.61</v>
      </c>
      <c r="E76" s="15">
        <v>0.35000000000000003</v>
      </c>
      <c r="F76" s="15">
        <v>0.35000000000000003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0.02</v>
      </c>
      <c r="N76" s="15">
        <v>0.02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3">
        <v>0</v>
      </c>
    </row>
    <row r="77" spans="1:21" ht="15" x14ac:dyDescent="0.2">
      <c r="A77" s="12">
        <v>409</v>
      </c>
      <c r="B77" s="13">
        <v>408</v>
      </c>
      <c r="C77" s="14">
        <v>0.65500000000000003</v>
      </c>
      <c r="D77" s="15">
        <v>0.61499999999999999</v>
      </c>
      <c r="E77" s="15">
        <v>0.34500000000000003</v>
      </c>
      <c r="F77" s="15">
        <v>0.34500000000000003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0.02</v>
      </c>
      <c r="N77" s="15">
        <v>0.02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3">
        <v>0</v>
      </c>
    </row>
    <row r="78" spans="1:21" ht="15" x14ac:dyDescent="0.2">
      <c r="A78" s="12">
        <v>339</v>
      </c>
      <c r="B78" s="13">
        <v>409</v>
      </c>
      <c r="C78" s="14">
        <v>0.66</v>
      </c>
      <c r="D78" s="15">
        <v>0.62</v>
      </c>
      <c r="E78" s="15">
        <v>0.34</v>
      </c>
      <c r="F78" s="15">
        <v>0.34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0.02</v>
      </c>
      <c r="N78" s="15">
        <v>0.02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3">
        <v>0</v>
      </c>
    </row>
    <row r="79" spans="1:21" ht="15" x14ac:dyDescent="0.2">
      <c r="A79" s="12">
        <v>207</v>
      </c>
      <c r="B79" s="13">
        <v>365</v>
      </c>
      <c r="C79" s="14">
        <v>0.59000000000000008</v>
      </c>
      <c r="D79" s="15">
        <v>0.54</v>
      </c>
      <c r="E79" s="15">
        <v>0.41</v>
      </c>
      <c r="F79" s="15">
        <v>0.41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2.5000000000000001E-2</v>
      </c>
      <c r="N79" s="15">
        <v>2.5000000000000001E-2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3">
        <v>0</v>
      </c>
    </row>
    <row r="80" spans="1:21" ht="15" x14ac:dyDescent="0.2">
      <c r="A80" s="12">
        <v>245</v>
      </c>
      <c r="B80" s="13">
        <v>370</v>
      </c>
      <c r="C80" s="14">
        <v>0.6100000000000001</v>
      </c>
      <c r="D80" s="15">
        <v>0.56000000000000005</v>
      </c>
      <c r="E80" s="15">
        <v>0.38999999999999996</v>
      </c>
      <c r="F80" s="15">
        <v>0.38999999999999996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2.5000000000000001E-2</v>
      </c>
      <c r="N80" s="15">
        <v>2.5000000000000001E-2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3">
        <v>0</v>
      </c>
    </row>
    <row r="81" spans="1:21" ht="15" x14ac:dyDescent="0.2">
      <c r="A81" s="12">
        <v>307</v>
      </c>
      <c r="B81" s="13">
        <v>375</v>
      </c>
      <c r="C81" s="14">
        <v>0.62</v>
      </c>
      <c r="D81" s="15">
        <v>0.56999999999999995</v>
      </c>
      <c r="E81" s="15">
        <v>0.38000000000000006</v>
      </c>
      <c r="F81" s="15">
        <v>0.38000000000000006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2.5000000000000001E-2</v>
      </c>
      <c r="N81" s="15">
        <v>2.5000000000000001E-2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3">
        <v>0</v>
      </c>
    </row>
    <row r="82" spans="1:21" ht="15" x14ac:dyDescent="0.2">
      <c r="A82" s="12">
        <v>315</v>
      </c>
      <c r="B82" s="13">
        <v>377</v>
      </c>
      <c r="C82" s="14">
        <v>0.63</v>
      </c>
      <c r="D82" s="15">
        <v>0.57999999999999996</v>
      </c>
      <c r="E82" s="15">
        <v>0.37000000000000005</v>
      </c>
      <c r="F82" s="15">
        <v>0.37000000000000005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2.5000000000000001E-2</v>
      </c>
      <c r="N82" s="15">
        <v>2.5000000000000001E-2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3">
        <v>0</v>
      </c>
    </row>
    <row r="83" spans="1:21" ht="15" x14ac:dyDescent="0.2">
      <c r="A83" s="12">
        <v>338</v>
      </c>
      <c r="B83" s="13">
        <v>391</v>
      </c>
      <c r="C83" s="14">
        <v>0.64</v>
      </c>
      <c r="D83" s="15">
        <v>0.59</v>
      </c>
      <c r="E83" s="15">
        <v>0.36000000000000004</v>
      </c>
      <c r="F83" s="15">
        <v>0.36000000000000004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2.5000000000000001E-2</v>
      </c>
      <c r="N83" s="15">
        <v>2.5000000000000001E-2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3">
        <v>0</v>
      </c>
    </row>
    <row r="84" spans="1:21" ht="15" x14ac:dyDescent="0.2">
      <c r="A84" s="12">
        <v>380</v>
      </c>
      <c r="B84" s="13">
        <v>395</v>
      </c>
      <c r="C84" s="14">
        <v>0.65</v>
      </c>
      <c r="D84" s="15">
        <v>0.6</v>
      </c>
      <c r="E84" s="15">
        <v>0.35000000000000003</v>
      </c>
      <c r="F84" s="15">
        <v>0.35000000000000003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2.5000000000000001E-2</v>
      </c>
      <c r="N84" s="15">
        <v>2.5000000000000001E-2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3">
        <v>0</v>
      </c>
    </row>
    <row r="85" spans="1:21" ht="15" x14ac:dyDescent="0.2">
      <c r="A85" s="12">
        <v>285</v>
      </c>
      <c r="B85" s="13">
        <v>406</v>
      </c>
      <c r="C85" s="14">
        <v>0.66</v>
      </c>
      <c r="D85" s="15">
        <v>0.61</v>
      </c>
      <c r="E85" s="15">
        <v>0.34</v>
      </c>
      <c r="F85" s="15">
        <v>0.34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2.5000000000000001E-2</v>
      </c>
      <c r="N85" s="15">
        <v>2.5000000000000001E-2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3">
        <v>0</v>
      </c>
    </row>
    <row r="86" spans="1:21" ht="15" x14ac:dyDescent="0.2">
      <c r="A86" s="12">
        <v>200</v>
      </c>
      <c r="B86" s="13">
        <v>409</v>
      </c>
      <c r="C86" s="14">
        <v>0.66999999999999904</v>
      </c>
      <c r="D86" s="15">
        <v>0.619999999999999</v>
      </c>
      <c r="E86" s="15">
        <v>0.33000000000000101</v>
      </c>
      <c r="F86" s="15">
        <v>0.33000000000000101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2.5000000000000001E-2</v>
      </c>
      <c r="N86" s="15">
        <v>2.5000000000000001E-2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3">
        <v>0</v>
      </c>
    </row>
    <row r="87" spans="1:21" ht="15" x14ac:dyDescent="0.2">
      <c r="A87" s="12">
        <v>380</v>
      </c>
      <c r="B87" s="13">
        <v>381</v>
      </c>
      <c r="C87" s="14">
        <v>0.63</v>
      </c>
      <c r="D87" s="15">
        <v>0.57999999999999996</v>
      </c>
      <c r="E87" s="15">
        <v>0.37</v>
      </c>
      <c r="F87" s="15">
        <v>0.37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3.3333333333333333E-2</v>
      </c>
      <c r="O87" s="15">
        <v>1.6666666666666666E-2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3">
        <v>0</v>
      </c>
    </row>
    <row r="88" spans="1:21" ht="15" x14ac:dyDescent="0.2">
      <c r="A88" s="12">
        <v>405</v>
      </c>
      <c r="B88" s="13">
        <v>391</v>
      </c>
      <c r="C88" s="14">
        <v>0.64</v>
      </c>
      <c r="D88" s="15">
        <v>0.59</v>
      </c>
      <c r="E88" s="15">
        <v>0.36</v>
      </c>
      <c r="F88" s="15">
        <v>0.36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3.3333333333333333E-2</v>
      </c>
      <c r="O88" s="15">
        <v>1.6666666666666666E-2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3">
        <v>0</v>
      </c>
    </row>
    <row r="89" spans="1:21" ht="15" x14ac:dyDescent="0.2">
      <c r="A89" s="12">
        <v>503</v>
      </c>
      <c r="B89" s="13">
        <v>403</v>
      </c>
      <c r="C89" s="14">
        <v>0.65</v>
      </c>
      <c r="D89" s="15">
        <v>0.6</v>
      </c>
      <c r="E89" s="15">
        <v>0.35</v>
      </c>
      <c r="F89" s="15">
        <v>0.35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3.3333333333333333E-2</v>
      </c>
      <c r="O89" s="15">
        <v>1.6666666666666666E-2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3">
        <v>0</v>
      </c>
    </row>
    <row r="90" spans="1:21" ht="15" x14ac:dyDescent="0.2">
      <c r="A90" s="12">
        <v>555</v>
      </c>
      <c r="B90" s="13">
        <v>408</v>
      </c>
      <c r="C90" s="14">
        <v>0.66</v>
      </c>
      <c r="D90" s="15">
        <v>0.61</v>
      </c>
      <c r="E90" s="15">
        <v>0.33999999999999997</v>
      </c>
      <c r="F90" s="15">
        <v>0.33999999999999997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3.3333333333333333E-2</v>
      </c>
      <c r="O90" s="15">
        <v>1.6666666666666666E-2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3">
        <v>0</v>
      </c>
    </row>
    <row r="91" spans="1:21" ht="15" x14ac:dyDescent="0.2">
      <c r="A91" s="12">
        <v>470</v>
      </c>
      <c r="B91" s="13">
        <v>412</v>
      </c>
      <c r="C91" s="14">
        <v>0.67</v>
      </c>
      <c r="D91" s="15">
        <v>0.62</v>
      </c>
      <c r="E91" s="15">
        <v>0.32999999999999996</v>
      </c>
      <c r="F91" s="15">
        <v>0.32999999999999996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3.3333333333333333E-2</v>
      </c>
      <c r="O91" s="15">
        <v>1.6666666666666666E-2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3">
        <v>0</v>
      </c>
    </row>
    <row r="92" spans="1:21" ht="15" x14ac:dyDescent="0.2">
      <c r="A92" s="12">
        <v>330</v>
      </c>
      <c r="B92" s="13">
        <v>417</v>
      </c>
      <c r="C92" s="14">
        <v>0.68</v>
      </c>
      <c r="D92" s="15">
        <v>0.63</v>
      </c>
      <c r="E92" s="15">
        <v>0.31999999999999995</v>
      </c>
      <c r="F92" s="15">
        <v>0.31999999999999995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3.3333333333333333E-2</v>
      </c>
      <c r="O92" s="15">
        <v>1.6666666666666666E-2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3">
        <v>0</v>
      </c>
    </row>
    <row r="93" spans="1:21" ht="15" x14ac:dyDescent="0.2">
      <c r="A93" s="12">
        <v>256</v>
      </c>
      <c r="B93" s="13">
        <v>366</v>
      </c>
      <c r="C93" s="14">
        <v>0.60499999999999998</v>
      </c>
      <c r="D93" s="15">
        <v>0.57999999999999996</v>
      </c>
      <c r="E93" s="15">
        <v>0.39500000000000002</v>
      </c>
      <c r="F93" s="15">
        <v>0.39500000000000002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1.6666666666666666E-2</v>
      </c>
      <c r="O93" s="15">
        <v>0</v>
      </c>
      <c r="P93" s="15">
        <v>8.3333333333333332E-3</v>
      </c>
      <c r="Q93" s="15">
        <v>0</v>
      </c>
      <c r="R93" s="15">
        <v>0</v>
      </c>
      <c r="S93" s="15">
        <v>0</v>
      </c>
      <c r="T93" s="15">
        <v>0</v>
      </c>
      <c r="U93" s="13">
        <v>0</v>
      </c>
    </row>
    <row r="94" spans="1:21" ht="15" x14ac:dyDescent="0.2">
      <c r="A94" s="12">
        <v>375</v>
      </c>
      <c r="B94" s="13">
        <v>380</v>
      </c>
      <c r="C94" s="14">
        <v>0.625</v>
      </c>
      <c r="D94" s="15">
        <v>0.6</v>
      </c>
      <c r="E94" s="15">
        <v>0.375</v>
      </c>
      <c r="F94" s="15">
        <v>0.375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1.6666666666666666E-2</v>
      </c>
      <c r="O94" s="15">
        <v>0</v>
      </c>
      <c r="P94" s="15">
        <v>8.3333333333333332E-3</v>
      </c>
      <c r="Q94" s="15">
        <v>0</v>
      </c>
      <c r="R94" s="15">
        <v>0</v>
      </c>
      <c r="S94" s="15">
        <v>0</v>
      </c>
      <c r="T94" s="15">
        <v>0</v>
      </c>
      <c r="U94" s="13">
        <v>0</v>
      </c>
    </row>
    <row r="95" spans="1:21" ht="15" x14ac:dyDescent="0.2">
      <c r="A95" s="12">
        <v>508</v>
      </c>
      <c r="B95" s="13">
        <v>401</v>
      </c>
      <c r="C95" s="14">
        <v>0.64500000000000002</v>
      </c>
      <c r="D95" s="15">
        <v>0.62</v>
      </c>
      <c r="E95" s="15">
        <v>0.35499999999999998</v>
      </c>
      <c r="F95" s="15">
        <v>0.35499999999999998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1.6666666666666666E-2</v>
      </c>
      <c r="O95" s="15">
        <v>0</v>
      </c>
      <c r="P95" s="15">
        <v>8.3333333333333332E-3</v>
      </c>
      <c r="Q95" s="15">
        <v>0</v>
      </c>
      <c r="R95" s="15">
        <v>0</v>
      </c>
      <c r="S95" s="15">
        <v>0</v>
      </c>
      <c r="T95" s="15">
        <v>0</v>
      </c>
      <c r="U95" s="13">
        <v>0</v>
      </c>
    </row>
    <row r="96" spans="1:21" ht="15" x14ac:dyDescent="0.2">
      <c r="A96" s="12">
        <v>244</v>
      </c>
      <c r="B96" s="13">
        <v>420</v>
      </c>
      <c r="C96" s="14">
        <v>0.66500000000000004</v>
      </c>
      <c r="D96" s="15">
        <v>0.64</v>
      </c>
      <c r="E96" s="15">
        <v>0.33499999999999996</v>
      </c>
      <c r="F96" s="15">
        <v>0.33499999999999996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1.6666666666666666E-2</v>
      </c>
      <c r="O96" s="15">
        <v>0</v>
      </c>
      <c r="P96" s="15">
        <v>8.3333333333333332E-3</v>
      </c>
      <c r="Q96" s="15">
        <v>0</v>
      </c>
      <c r="R96" s="15">
        <v>0</v>
      </c>
      <c r="S96" s="15">
        <v>0</v>
      </c>
      <c r="T96" s="15">
        <v>0</v>
      </c>
      <c r="U96" s="13">
        <v>0</v>
      </c>
    </row>
    <row r="97" spans="1:21" ht="15" x14ac:dyDescent="0.2">
      <c r="A97" s="16">
        <v>200</v>
      </c>
      <c r="B97" s="17">
        <v>389</v>
      </c>
      <c r="C97" s="14">
        <v>0.63</v>
      </c>
      <c r="D97" s="18">
        <v>0.62</v>
      </c>
      <c r="E97" s="15">
        <v>0.37</v>
      </c>
      <c r="F97" s="15">
        <v>0.37</v>
      </c>
      <c r="G97" s="15">
        <v>0</v>
      </c>
      <c r="H97" s="15">
        <v>0</v>
      </c>
      <c r="I97" s="15">
        <v>3.3333333333333335E-3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f>I97*2</f>
        <v>6.6666666666666671E-3</v>
      </c>
      <c r="R97" s="15">
        <v>0</v>
      </c>
      <c r="S97" s="15">
        <v>0</v>
      </c>
      <c r="T97" s="15">
        <v>0</v>
      </c>
      <c r="U97" s="13">
        <v>0</v>
      </c>
    </row>
    <row r="98" spans="1:21" ht="15" x14ac:dyDescent="0.2">
      <c r="A98" s="16">
        <v>280</v>
      </c>
      <c r="B98" s="17">
        <v>399</v>
      </c>
      <c r="C98" s="14">
        <v>0.64</v>
      </c>
      <c r="D98" s="18">
        <v>0.63</v>
      </c>
      <c r="E98" s="15">
        <v>0.36</v>
      </c>
      <c r="F98" s="15">
        <v>0.36</v>
      </c>
      <c r="G98" s="15">
        <v>0</v>
      </c>
      <c r="H98" s="15">
        <v>0</v>
      </c>
      <c r="I98" s="15">
        <v>3.3333333333333335E-3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f>I98*2</f>
        <v>6.6666666666666671E-3</v>
      </c>
      <c r="R98" s="15">
        <v>0</v>
      </c>
      <c r="S98" s="15">
        <v>0</v>
      </c>
      <c r="T98" s="15">
        <v>0</v>
      </c>
      <c r="U98" s="13">
        <v>0</v>
      </c>
    </row>
    <row r="99" spans="1:21" ht="15" x14ac:dyDescent="0.2">
      <c r="A99" s="16">
        <v>210</v>
      </c>
      <c r="B99" s="17">
        <v>409</v>
      </c>
      <c r="C99" s="14">
        <v>0.65</v>
      </c>
      <c r="D99" s="18">
        <v>0.64</v>
      </c>
      <c r="E99" s="15">
        <v>0.35</v>
      </c>
      <c r="F99" s="15">
        <v>0.35</v>
      </c>
      <c r="G99" s="15">
        <v>0</v>
      </c>
      <c r="H99" s="15">
        <v>0</v>
      </c>
      <c r="I99" s="15">
        <v>3.3333333333333335E-3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f t="shared" ref="Q99:Q101" si="0">I99*2</f>
        <v>6.6666666666666671E-3</v>
      </c>
      <c r="R99" s="15">
        <v>0</v>
      </c>
      <c r="S99" s="15">
        <v>0</v>
      </c>
      <c r="T99" s="15">
        <v>0</v>
      </c>
      <c r="U99" s="13">
        <v>0</v>
      </c>
    </row>
    <row r="100" spans="1:21" ht="15" x14ac:dyDescent="0.2">
      <c r="A100" s="16">
        <v>200</v>
      </c>
      <c r="B100" s="17">
        <v>422</v>
      </c>
      <c r="C100" s="14">
        <v>0.66</v>
      </c>
      <c r="D100" s="18">
        <v>0.65</v>
      </c>
      <c r="E100" s="15">
        <v>0.33999999999999997</v>
      </c>
      <c r="F100" s="15">
        <v>0.33999999999999997</v>
      </c>
      <c r="G100" s="15">
        <v>0</v>
      </c>
      <c r="H100" s="15">
        <v>0</v>
      </c>
      <c r="I100" s="15">
        <v>3.3333333333333335E-3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f t="shared" si="0"/>
        <v>6.6666666666666671E-3</v>
      </c>
      <c r="R100" s="15">
        <v>0</v>
      </c>
      <c r="S100" s="15">
        <v>0</v>
      </c>
      <c r="T100" s="15">
        <v>0</v>
      </c>
      <c r="U100" s="13">
        <v>0</v>
      </c>
    </row>
    <row r="101" spans="1:21" ht="15" x14ac:dyDescent="0.2">
      <c r="A101" s="16">
        <v>120</v>
      </c>
      <c r="B101" s="17">
        <v>420</v>
      </c>
      <c r="C101" s="14">
        <v>0.67</v>
      </c>
      <c r="D101" s="18">
        <v>0.66</v>
      </c>
      <c r="E101" s="15">
        <v>0.32999999999999996</v>
      </c>
      <c r="F101" s="15">
        <v>0.32999999999999996</v>
      </c>
      <c r="G101" s="15">
        <v>0</v>
      </c>
      <c r="H101" s="15">
        <v>0</v>
      </c>
      <c r="I101" s="15">
        <v>3.3333333333333335E-3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f t="shared" si="0"/>
        <v>6.6666666666666671E-3</v>
      </c>
      <c r="R101" s="15">
        <v>0</v>
      </c>
      <c r="S101" s="15">
        <v>0</v>
      </c>
      <c r="T101" s="15">
        <v>0</v>
      </c>
      <c r="U101" s="13">
        <v>0</v>
      </c>
    </row>
    <row r="102" spans="1:21" ht="15" x14ac:dyDescent="0.2">
      <c r="A102" s="16">
        <v>235</v>
      </c>
      <c r="B102" s="17">
        <v>354</v>
      </c>
      <c r="C102" s="14">
        <v>0.65</v>
      </c>
      <c r="D102" s="18">
        <v>0.62</v>
      </c>
      <c r="E102" s="15">
        <v>0.35</v>
      </c>
      <c r="F102" s="15">
        <v>0.35</v>
      </c>
      <c r="G102" s="15">
        <v>0</v>
      </c>
      <c r="H102" s="15">
        <v>0</v>
      </c>
      <c r="I102" s="15">
        <v>0.01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0.02</v>
      </c>
      <c r="R102" s="15">
        <v>0</v>
      </c>
      <c r="S102" s="15">
        <v>0</v>
      </c>
      <c r="T102" s="15">
        <v>0</v>
      </c>
      <c r="U102" s="13">
        <v>0</v>
      </c>
    </row>
    <row r="103" spans="1:21" ht="15" x14ac:dyDescent="0.2">
      <c r="A103" s="16">
        <v>280</v>
      </c>
      <c r="B103" s="17">
        <v>359</v>
      </c>
      <c r="C103" s="14">
        <v>0.66</v>
      </c>
      <c r="D103" s="18">
        <v>0.63</v>
      </c>
      <c r="E103" s="15">
        <v>0.33999999999999997</v>
      </c>
      <c r="F103" s="15">
        <v>0.33999999999999997</v>
      </c>
      <c r="G103" s="15">
        <v>0</v>
      </c>
      <c r="H103" s="15">
        <v>0</v>
      </c>
      <c r="I103" s="15">
        <v>0.01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0.02</v>
      </c>
      <c r="R103" s="15">
        <v>0</v>
      </c>
      <c r="S103" s="15">
        <v>0</v>
      </c>
      <c r="T103" s="15">
        <v>0</v>
      </c>
      <c r="U103" s="13">
        <v>0</v>
      </c>
    </row>
    <row r="104" spans="1:21" ht="15" x14ac:dyDescent="0.2">
      <c r="A104" s="16">
        <v>300</v>
      </c>
      <c r="B104" s="17">
        <v>365</v>
      </c>
      <c r="C104" s="14">
        <v>0.67</v>
      </c>
      <c r="D104" s="18">
        <v>0.64</v>
      </c>
      <c r="E104" s="15">
        <v>0.32999999999999996</v>
      </c>
      <c r="F104" s="15">
        <v>0.32999999999999996</v>
      </c>
      <c r="G104" s="15">
        <v>0</v>
      </c>
      <c r="H104" s="15">
        <v>0</v>
      </c>
      <c r="I104" s="15">
        <v>0.01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0.02</v>
      </c>
      <c r="R104" s="15">
        <v>0</v>
      </c>
      <c r="S104" s="15">
        <v>0</v>
      </c>
      <c r="T104" s="15">
        <v>0</v>
      </c>
      <c r="U104" s="13">
        <v>0</v>
      </c>
    </row>
    <row r="105" spans="1:21" ht="15" x14ac:dyDescent="0.2">
      <c r="A105" s="16">
        <v>240</v>
      </c>
      <c r="B105" s="17">
        <v>372</v>
      </c>
      <c r="C105" s="14">
        <v>0.68</v>
      </c>
      <c r="D105" s="18">
        <v>0.65</v>
      </c>
      <c r="E105" s="15">
        <v>0.31999999999999995</v>
      </c>
      <c r="F105" s="15">
        <v>0.31999999999999995</v>
      </c>
      <c r="G105" s="15">
        <v>0</v>
      </c>
      <c r="H105" s="15">
        <v>0</v>
      </c>
      <c r="I105" s="15">
        <v>0.01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0.02</v>
      </c>
      <c r="R105" s="15">
        <v>0</v>
      </c>
      <c r="S105" s="15">
        <v>0</v>
      </c>
      <c r="T105" s="15">
        <v>0</v>
      </c>
      <c r="U105" s="13">
        <v>0</v>
      </c>
    </row>
    <row r="106" spans="1:21" ht="15" x14ac:dyDescent="0.2">
      <c r="A106" s="16">
        <v>165</v>
      </c>
      <c r="B106" s="17">
        <v>381</v>
      </c>
      <c r="C106" s="14">
        <v>0.69000000000000006</v>
      </c>
      <c r="D106" s="18">
        <v>0.66</v>
      </c>
      <c r="E106" s="15">
        <v>0.30999999999999994</v>
      </c>
      <c r="F106" s="15">
        <v>0.30999999999999994</v>
      </c>
      <c r="G106" s="15">
        <v>0</v>
      </c>
      <c r="H106" s="15">
        <v>0</v>
      </c>
      <c r="I106" s="15">
        <v>0.01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0.02</v>
      </c>
      <c r="R106" s="15">
        <v>0</v>
      </c>
      <c r="S106" s="15">
        <v>0</v>
      </c>
      <c r="T106" s="15">
        <v>0</v>
      </c>
      <c r="U106" s="13">
        <v>0</v>
      </c>
    </row>
    <row r="107" spans="1:21" ht="15" x14ac:dyDescent="0.2">
      <c r="A107" s="12">
        <v>460</v>
      </c>
      <c r="B107" s="13">
        <v>390</v>
      </c>
      <c r="C107" s="14">
        <v>0.625</v>
      </c>
      <c r="D107" s="15">
        <v>0.6</v>
      </c>
      <c r="E107" s="15">
        <f>0.975-D107</f>
        <v>0.375</v>
      </c>
      <c r="F107" s="15">
        <v>0.375</v>
      </c>
      <c r="G107" s="15">
        <f>0.025/3</f>
        <v>8.3333333333333332E-3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f>0.025/3*2</f>
        <v>1.6666666666666666E-2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3">
        <v>0</v>
      </c>
    </row>
    <row r="108" spans="1:21" ht="15" x14ac:dyDescent="0.2">
      <c r="A108" s="12">
        <v>522</v>
      </c>
      <c r="B108" s="13">
        <v>400</v>
      </c>
      <c r="C108" s="14">
        <v>0.63500000000000001</v>
      </c>
      <c r="D108" s="15">
        <v>0.61</v>
      </c>
      <c r="E108" s="15">
        <f t="shared" ref="E108:E110" si="1">0.975-D108</f>
        <v>0.36499999999999999</v>
      </c>
      <c r="F108" s="15">
        <v>0.36499999999999999</v>
      </c>
      <c r="G108" s="15">
        <f t="shared" ref="G108:G110" si="2">0.025/3</f>
        <v>8.3333333333333332E-3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f t="shared" ref="N108:N110" si="3">0.025/3*2</f>
        <v>1.6666666666666666E-2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3">
        <v>0</v>
      </c>
    </row>
    <row r="109" spans="1:21" ht="15" x14ac:dyDescent="0.2">
      <c r="A109" s="12">
        <v>450</v>
      </c>
      <c r="B109" s="13">
        <v>408</v>
      </c>
      <c r="C109" s="14">
        <v>0.64500000000000002</v>
      </c>
      <c r="D109" s="15">
        <v>0.62</v>
      </c>
      <c r="E109" s="15">
        <f t="shared" si="1"/>
        <v>0.35499999999999998</v>
      </c>
      <c r="F109" s="15">
        <v>0.35499999999999998</v>
      </c>
      <c r="G109" s="15">
        <f t="shared" si="2"/>
        <v>8.3333333333333332E-3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f t="shared" si="3"/>
        <v>1.6666666666666666E-2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3">
        <v>0</v>
      </c>
    </row>
    <row r="110" spans="1:21" ht="15" x14ac:dyDescent="0.2">
      <c r="A110" s="12">
        <v>380</v>
      </c>
      <c r="B110" s="13">
        <v>415</v>
      </c>
      <c r="C110" s="14">
        <v>0.65500000000000003</v>
      </c>
      <c r="D110" s="15">
        <v>0.63</v>
      </c>
      <c r="E110" s="15">
        <f t="shared" si="1"/>
        <v>0.34499999999999997</v>
      </c>
      <c r="F110" s="15">
        <v>0.34499999999999997</v>
      </c>
      <c r="G110" s="15">
        <f t="shared" si="2"/>
        <v>8.3333333333333332E-3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f t="shared" si="3"/>
        <v>1.6666666666666666E-2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3">
        <v>0</v>
      </c>
    </row>
    <row r="111" spans="1:21" ht="15" x14ac:dyDescent="0.2">
      <c r="A111" s="12">
        <v>370</v>
      </c>
      <c r="B111" s="13">
        <v>359</v>
      </c>
      <c r="C111" s="14">
        <v>0.63</v>
      </c>
      <c r="D111" s="15">
        <v>0.57999999999999996</v>
      </c>
      <c r="E111" s="15">
        <v>0.37</v>
      </c>
      <c r="F111" s="15">
        <v>0.37</v>
      </c>
      <c r="G111" s="15">
        <f>0.05/3</f>
        <v>1.6666666666666666E-2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f>0.05/3*2</f>
        <v>3.3333333333333333E-2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3">
        <v>0</v>
      </c>
    </row>
    <row r="112" spans="1:21" ht="15" x14ac:dyDescent="0.2">
      <c r="A112" s="12">
        <v>460</v>
      </c>
      <c r="B112" s="13">
        <v>373</v>
      </c>
      <c r="C112" s="14">
        <v>0.64</v>
      </c>
      <c r="D112" s="15">
        <v>0.59</v>
      </c>
      <c r="E112" s="15">
        <v>0.36</v>
      </c>
      <c r="F112" s="15">
        <v>0.36</v>
      </c>
      <c r="G112" s="15">
        <f t="shared" ref="G112:G115" si="4">0.05/3</f>
        <v>1.6666666666666666E-2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f t="shared" ref="N112:N115" si="5">0.05/3*2</f>
        <v>3.3333333333333333E-2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3">
        <v>0</v>
      </c>
    </row>
    <row r="113" spans="1:21" ht="15" x14ac:dyDescent="0.2">
      <c r="A113" s="12">
        <v>495</v>
      </c>
      <c r="B113" s="13">
        <v>385</v>
      </c>
      <c r="C113" s="14">
        <v>0.65</v>
      </c>
      <c r="D113" s="19">
        <v>0.6</v>
      </c>
      <c r="E113" s="15">
        <v>0.35</v>
      </c>
      <c r="F113" s="15">
        <v>0.35</v>
      </c>
      <c r="G113" s="15">
        <f t="shared" si="4"/>
        <v>1.6666666666666666E-2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f t="shared" si="5"/>
        <v>3.3333333333333333E-2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3">
        <v>0</v>
      </c>
    </row>
    <row r="114" spans="1:21" ht="15" x14ac:dyDescent="0.2">
      <c r="A114" s="12">
        <v>465</v>
      </c>
      <c r="B114" s="13">
        <v>393</v>
      </c>
      <c r="C114" s="14">
        <v>0.66</v>
      </c>
      <c r="D114" s="15">
        <v>0.61</v>
      </c>
      <c r="E114" s="15">
        <v>0.33999999999999997</v>
      </c>
      <c r="F114" s="15">
        <v>0.33999999999999997</v>
      </c>
      <c r="G114" s="15">
        <f t="shared" si="4"/>
        <v>1.6666666666666666E-2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f t="shared" si="5"/>
        <v>3.3333333333333333E-2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3">
        <v>0</v>
      </c>
    </row>
    <row r="115" spans="1:21" ht="15" x14ac:dyDescent="0.2">
      <c r="A115" s="12">
        <v>410</v>
      </c>
      <c r="B115" s="13">
        <v>402</v>
      </c>
      <c r="C115" s="14">
        <v>0.67</v>
      </c>
      <c r="D115" s="15">
        <v>0.62</v>
      </c>
      <c r="E115" s="15">
        <v>0.32999999999999996</v>
      </c>
      <c r="F115" s="15">
        <v>0.32999999999999996</v>
      </c>
      <c r="G115" s="15">
        <f t="shared" si="4"/>
        <v>1.6666666666666666E-2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f t="shared" si="5"/>
        <v>3.3333333333333333E-2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3">
        <v>0</v>
      </c>
    </row>
    <row r="116" spans="1:21" ht="15" x14ac:dyDescent="0.2">
      <c r="A116" s="12">
        <v>476</v>
      </c>
      <c r="B116" s="13">
        <v>376</v>
      </c>
      <c r="C116" s="14">
        <v>0.63</v>
      </c>
      <c r="D116" s="15">
        <v>0.6</v>
      </c>
      <c r="E116" s="15">
        <v>0.37</v>
      </c>
      <c r="F116" s="15">
        <v>0.37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1.4999999999999999E-2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1.4999999999999999E-2</v>
      </c>
      <c r="U116" s="13">
        <v>0</v>
      </c>
    </row>
    <row r="117" spans="1:21" ht="15" x14ac:dyDescent="0.2">
      <c r="A117" s="12">
        <v>498</v>
      </c>
      <c r="B117" s="13">
        <v>378</v>
      </c>
      <c r="C117" s="14">
        <v>0.64</v>
      </c>
      <c r="D117" s="15">
        <v>0.61</v>
      </c>
      <c r="E117" s="15">
        <v>0.36</v>
      </c>
      <c r="F117" s="15">
        <v>0.36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1.4999999999999999E-2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1.4999999999999999E-2</v>
      </c>
      <c r="U117" s="13">
        <v>0</v>
      </c>
    </row>
    <row r="118" spans="1:21" ht="15" x14ac:dyDescent="0.2">
      <c r="A118" s="12">
        <v>529</v>
      </c>
      <c r="B118" s="13">
        <v>383</v>
      </c>
      <c r="C118" s="14">
        <v>0.64500000000000002</v>
      </c>
      <c r="D118" s="15">
        <v>0.61499999999999999</v>
      </c>
      <c r="E118" s="15">
        <v>0.35499999999999998</v>
      </c>
      <c r="F118" s="15">
        <v>0.35499999999999998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1.4999999999999999E-2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1.4999999999999999E-2</v>
      </c>
      <c r="U118" s="13">
        <v>0</v>
      </c>
    </row>
    <row r="119" spans="1:21" ht="15" x14ac:dyDescent="0.2">
      <c r="A119" s="12">
        <v>553</v>
      </c>
      <c r="B119" s="13">
        <v>384</v>
      </c>
      <c r="C119" s="14">
        <v>0.65</v>
      </c>
      <c r="D119" s="15">
        <v>0.62</v>
      </c>
      <c r="E119" s="15">
        <v>0.35</v>
      </c>
      <c r="F119" s="15">
        <v>0.35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1.4999999999999999E-2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1.4999999999999999E-2</v>
      </c>
      <c r="U119" s="13">
        <v>0</v>
      </c>
    </row>
    <row r="120" spans="1:21" ht="15" x14ac:dyDescent="0.2">
      <c r="A120" s="12">
        <v>523</v>
      </c>
      <c r="B120" s="13">
        <v>387</v>
      </c>
      <c r="C120" s="14">
        <v>0.65500000000000003</v>
      </c>
      <c r="D120" s="15">
        <v>0.625</v>
      </c>
      <c r="E120" s="15">
        <v>0.34499999999999997</v>
      </c>
      <c r="F120" s="15">
        <v>0.34499999999999997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1.4999999999999999E-2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1.4999999999999999E-2</v>
      </c>
      <c r="U120" s="13">
        <v>0</v>
      </c>
    </row>
    <row r="121" spans="1:21" ht="15" x14ac:dyDescent="0.2">
      <c r="A121" s="12">
        <v>458</v>
      </c>
      <c r="B121" s="13">
        <v>391</v>
      </c>
      <c r="C121" s="14">
        <v>0.66</v>
      </c>
      <c r="D121" s="15">
        <v>0.63</v>
      </c>
      <c r="E121" s="15">
        <v>0.33999999999999997</v>
      </c>
      <c r="F121" s="15">
        <v>0.33999999999999997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1.4999999999999999E-2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1.4999999999999999E-2</v>
      </c>
      <c r="U121" s="13">
        <v>0</v>
      </c>
    </row>
    <row r="122" spans="1:21" ht="15" x14ac:dyDescent="0.2">
      <c r="A122" s="12">
        <v>460</v>
      </c>
      <c r="B122" s="13">
        <v>450</v>
      </c>
      <c r="C122" s="14">
        <v>0.64</v>
      </c>
      <c r="D122" s="15">
        <v>0.64</v>
      </c>
      <c r="E122" s="15">
        <v>0.36</v>
      </c>
      <c r="F122" s="15">
        <v>0.36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3">
        <v>0</v>
      </c>
    </row>
    <row r="123" spans="1:21" ht="15" x14ac:dyDescent="0.2">
      <c r="A123" s="12">
        <v>462</v>
      </c>
      <c r="B123" s="13">
        <v>455</v>
      </c>
      <c r="C123" s="14">
        <v>0.64107999999999998</v>
      </c>
      <c r="D123" s="15">
        <v>0.63807999999999998</v>
      </c>
      <c r="E123" s="15">
        <v>0.35891999999999996</v>
      </c>
      <c r="F123" s="15">
        <v>0.35891999999999996</v>
      </c>
      <c r="G123" s="15">
        <v>1E-3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2E-3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3">
        <v>0</v>
      </c>
    </row>
    <row r="124" spans="1:21" ht="15" x14ac:dyDescent="0.2">
      <c r="A124" s="12">
        <v>492</v>
      </c>
      <c r="B124" s="13">
        <v>446</v>
      </c>
      <c r="C124" s="14">
        <v>0.64180000000000004</v>
      </c>
      <c r="D124" s="15">
        <v>0.63680000000000003</v>
      </c>
      <c r="E124" s="15">
        <v>0.35819999999999996</v>
      </c>
      <c r="F124" s="15">
        <v>0.35819999999999996</v>
      </c>
      <c r="G124" s="15">
        <v>1.6666666666666668E-3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3.3333333333333335E-3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3">
        <v>0</v>
      </c>
    </row>
    <row r="125" spans="1:21" ht="15" x14ac:dyDescent="0.2">
      <c r="A125" s="12">
        <v>513</v>
      </c>
      <c r="B125" s="13">
        <v>431</v>
      </c>
      <c r="C125" s="14">
        <v>0.64288000000000001</v>
      </c>
      <c r="D125" s="15">
        <v>0.63488</v>
      </c>
      <c r="E125" s="15">
        <v>0.35711999999999999</v>
      </c>
      <c r="F125" s="15">
        <v>0.35711999999999999</v>
      </c>
      <c r="G125" s="15">
        <v>2.6666666666666666E-3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5.3333333333333332E-3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3">
        <v>0</v>
      </c>
    </row>
    <row r="126" spans="1:21" ht="15" x14ac:dyDescent="0.2">
      <c r="A126" s="12">
        <v>531</v>
      </c>
      <c r="B126" s="13">
        <v>417</v>
      </c>
      <c r="C126" s="14">
        <v>0.64360000000000006</v>
      </c>
      <c r="D126" s="15">
        <v>0.63360000000000005</v>
      </c>
      <c r="E126" s="15">
        <v>0.35639999999999999</v>
      </c>
      <c r="F126" s="15">
        <v>0.35639999999999999</v>
      </c>
      <c r="G126" s="15">
        <v>3.3333333333333335E-3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6.6666666666666671E-3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3">
        <v>0</v>
      </c>
    </row>
    <row r="127" spans="1:21" ht="15" x14ac:dyDescent="0.2">
      <c r="A127" s="12">
        <v>497</v>
      </c>
      <c r="B127" s="13">
        <v>402</v>
      </c>
      <c r="C127" s="14">
        <v>0.6472</v>
      </c>
      <c r="D127" s="15">
        <v>0.62719999999999998</v>
      </c>
      <c r="E127" s="15">
        <v>0.3528</v>
      </c>
      <c r="F127" s="15">
        <v>0.3528</v>
      </c>
      <c r="G127" s="15">
        <v>6.6666666666666671E-3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1.3333333333333334E-2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3">
        <v>0</v>
      </c>
    </row>
    <row r="128" spans="1:21" ht="15" x14ac:dyDescent="0.2">
      <c r="A128" s="12">
        <v>470</v>
      </c>
      <c r="B128" s="13">
        <v>396</v>
      </c>
      <c r="C128" s="14">
        <v>0.65080000000000005</v>
      </c>
      <c r="D128" s="15">
        <v>0.62080000000000002</v>
      </c>
      <c r="E128" s="15">
        <v>0.34919999999999995</v>
      </c>
      <c r="F128" s="15">
        <v>0.34919999999999995</v>
      </c>
      <c r="G128" s="15">
        <v>0.01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0.02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3">
        <v>0</v>
      </c>
    </row>
    <row r="129" spans="1:21" ht="15" x14ac:dyDescent="0.2">
      <c r="A129" s="12">
        <v>468</v>
      </c>
      <c r="B129" s="13">
        <v>385</v>
      </c>
      <c r="C129" s="14">
        <v>0.65800000000000003</v>
      </c>
      <c r="D129" s="15">
        <v>0.60799999999999998</v>
      </c>
      <c r="E129" s="15">
        <v>0.34199999999999997</v>
      </c>
      <c r="F129" s="15">
        <v>0.34199999999999997</v>
      </c>
      <c r="G129" s="15">
        <v>1.6666666666666666E-2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3.3333333333333333E-2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3">
        <v>0</v>
      </c>
    </row>
    <row r="130" spans="1:21" ht="15" x14ac:dyDescent="0.2">
      <c r="A130" s="12">
        <v>214</v>
      </c>
      <c r="B130" s="13">
        <v>429</v>
      </c>
      <c r="C130" s="14">
        <v>0.59000000000000008</v>
      </c>
      <c r="D130" s="15">
        <v>0.56000000000000005</v>
      </c>
      <c r="E130" s="15">
        <v>0.40999999999999992</v>
      </c>
      <c r="F130" s="15">
        <v>0.40999999999999992</v>
      </c>
      <c r="G130" s="15">
        <v>0</v>
      </c>
      <c r="H130" s="15">
        <v>0</v>
      </c>
      <c r="I130" s="15">
        <v>0.01</v>
      </c>
      <c r="J130" s="15">
        <v>0</v>
      </c>
      <c r="K130" s="15">
        <v>0</v>
      </c>
      <c r="L130" s="15">
        <v>0</v>
      </c>
      <c r="M130" s="15">
        <v>0</v>
      </c>
      <c r="N130" s="15">
        <v>0.02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3">
        <v>0</v>
      </c>
    </row>
    <row r="131" spans="1:21" ht="15" x14ac:dyDescent="0.2">
      <c r="A131" s="12">
        <v>300</v>
      </c>
      <c r="B131" s="13">
        <v>437</v>
      </c>
      <c r="C131" s="14">
        <v>0.61</v>
      </c>
      <c r="D131" s="15">
        <v>0.57999999999999996</v>
      </c>
      <c r="E131" s="15">
        <v>0.39</v>
      </c>
      <c r="F131" s="15">
        <v>0.39</v>
      </c>
      <c r="G131" s="15">
        <v>0</v>
      </c>
      <c r="H131" s="15">
        <v>0</v>
      </c>
      <c r="I131" s="15">
        <v>0.01</v>
      </c>
      <c r="J131" s="15">
        <v>0</v>
      </c>
      <c r="K131" s="15">
        <v>0</v>
      </c>
      <c r="L131" s="15">
        <v>0</v>
      </c>
      <c r="M131" s="15">
        <v>0</v>
      </c>
      <c r="N131" s="15">
        <v>0.02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3">
        <v>0</v>
      </c>
    </row>
    <row r="132" spans="1:21" ht="15" x14ac:dyDescent="0.2">
      <c r="A132" s="12">
        <v>285</v>
      </c>
      <c r="B132" s="13">
        <v>443</v>
      </c>
      <c r="C132" s="14">
        <v>0.62</v>
      </c>
      <c r="D132" s="15">
        <v>0.59</v>
      </c>
      <c r="E132" s="15">
        <v>0.38</v>
      </c>
      <c r="F132" s="15">
        <v>0.38</v>
      </c>
      <c r="G132" s="15">
        <v>0</v>
      </c>
      <c r="H132" s="15">
        <v>0</v>
      </c>
      <c r="I132" s="15">
        <v>0.01</v>
      </c>
      <c r="J132" s="15">
        <v>0</v>
      </c>
      <c r="K132" s="15">
        <v>0</v>
      </c>
      <c r="L132" s="15">
        <v>0</v>
      </c>
      <c r="M132" s="15">
        <v>0</v>
      </c>
      <c r="N132" s="15">
        <v>0.02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3">
        <v>0</v>
      </c>
    </row>
    <row r="133" spans="1:21" ht="15" x14ac:dyDescent="0.2">
      <c r="A133" s="12">
        <v>256</v>
      </c>
      <c r="B133" s="13">
        <v>451</v>
      </c>
      <c r="C133" s="14">
        <v>0.63</v>
      </c>
      <c r="D133" s="19">
        <v>0.6</v>
      </c>
      <c r="E133" s="15">
        <v>0.37</v>
      </c>
      <c r="F133" s="15">
        <v>0.37</v>
      </c>
      <c r="G133" s="15">
        <v>0</v>
      </c>
      <c r="H133" s="15">
        <v>0</v>
      </c>
      <c r="I133" s="15">
        <v>0.01</v>
      </c>
      <c r="J133" s="15">
        <v>0</v>
      </c>
      <c r="K133" s="15">
        <v>0</v>
      </c>
      <c r="L133" s="15">
        <v>0</v>
      </c>
      <c r="M133" s="15">
        <v>0</v>
      </c>
      <c r="N133" s="15">
        <v>0.02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3">
        <v>0</v>
      </c>
    </row>
    <row r="134" spans="1:21" ht="15" x14ac:dyDescent="0.2">
      <c r="A134" s="12">
        <v>189</v>
      </c>
      <c r="B134" s="13">
        <v>456</v>
      </c>
      <c r="C134" s="14">
        <v>0.65</v>
      </c>
      <c r="D134" s="15">
        <v>0.62</v>
      </c>
      <c r="E134" s="15">
        <v>0.35</v>
      </c>
      <c r="F134" s="15">
        <v>0.35</v>
      </c>
      <c r="G134" s="15">
        <v>0</v>
      </c>
      <c r="H134" s="15">
        <v>0</v>
      </c>
      <c r="I134" s="15">
        <v>0.01</v>
      </c>
      <c r="J134" s="15">
        <v>0</v>
      </c>
      <c r="K134" s="15">
        <v>0</v>
      </c>
      <c r="L134" s="15">
        <v>0</v>
      </c>
      <c r="M134" s="15">
        <v>0</v>
      </c>
      <c r="N134" s="15">
        <v>0.02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3">
        <v>0</v>
      </c>
    </row>
    <row r="135" spans="1:21" ht="15" x14ac:dyDescent="0.2">
      <c r="A135" s="12">
        <v>313</v>
      </c>
      <c r="B135" s="13">
        <v>319</v>
      </c>
      <c r="C135" s="14">
        <v>0.68</v>
      </c>
      <c r="D135" s="15">
        <v>0.53</v>
      </c>
      <c r="E135" s="15">
        <v>0.32</v>
      </c>
      <c r="F135" s="15">
        <v>0.32</v>
      </c>
      <c r="G135" s="15">
        <v>0</v>
      </c>
      <c r="H135" s="15">
        <v>0</v>
      </c>
      <c r="I135" s="15">
        <v>0</v>
      </c>
      <c r="J135" s="15">
        <v>0.05</v>
      </c>
      <c r="K135" s="15">
        <v>0</v>
      </c>
      <c r="L135" s="15">
        <v>0</v>
      </c>
      <c r="M135" s="15">
        <v>0</v>
      </c>
      <c r="N135" s="15">
        <v>0.1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3">
        <v>0</v>
      </c>
    </row>
    <row r="136" spans="1:21" ht="15" x14ac:dyDescent="0.2">
      <c r="A136" s="12">
        <v>300</v>
      </c>
      <c r="B136" s="13">
        <v>304</v>
      </c>
      <c r="C136" s="14">
        <v>0.66</v>
      </c>
      <c r="D136" s="15">
        <v>0.51</v>
      </c>
      <c r="E136" s="15">
        <v>0.34</v>
      </c>
      <c r="F136" s="15">
        <v>0.34</v>
      </c>
      <c r="G136" s="15">
        <v>0</v>
      </c>
      <c r="H136" s="15">
        <v>0</v>
      </c>
      <c r="I136" s="15">
        <v>0</v>
      </c>
      <c r="J136" s="15">
        <v>0.05</v>
      </c>
      <c r="K136" s="15">
        <v>0</v>
      </c>
      <c r="L136" s="15">
        <v>0</v>
      </c>
      <c r="M136" s="15">
        <v>0</v>
      </c>
      <c r="N136" s="15">
        <v>0.1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3">
        <v>0</v>
      </c>
    </row>
    <row r="137" spans="1:21" ht="15" x14ac:dyDescent="0.2">
      <c r="A137" s="12">
        <v>380</v>
      </c>
      <c r="B137" s="13">
        <v>371</v>
      </c>
      <c r="C137" s="14">
        <v>0.63</v>
      </c>
      <c r="D137" s="15">
        <v>0.57999999999999996</v>
      </c>
      <c r="E137" s="15">
        <v>0.37</v>
      </c>
      <c r="F137" s="15">
        <v>0.37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f>0.05/3*2</f>
        <v>3.3333333333333333E-2</v>
      </c>
      <c r="O137" s="15">
        <v>0</v>
      </c>
      <c r="P137" s="15">
        <f>0.05/3</f>
        <v>1.6666666666666666E-2</v>
      </c>
      <c r="Q137" s="15">
        <v>0</v>
      </c>
      <c r="R137" s="15">
        <v>0</v>
      </c>
      <c r="S137" s="15">
        <v>0</v>
      </c>
      <c r="T137" s="15">
        <v>0</v>
      </c>
      <c r="U137" s="13">
        <v>0</v>
      </c>
    </row>
    <row r="138" spans="1:21" ht="15" x14ac:dyDescent="0.2">
      <c r="A138" s="12">
        <v>403</v>
      </c>
      <c r="B138" s="13">
        <v>384</v>
      </c>
      <c r="C138" s="14">
        <v>0.64</v>
      </c>
      <c r="D138" s="15">
        <v>0.59</v>
      </c>
      <c r="E138" s="15">
        <v>0.36</v>
      </c>
      <c r="F138" s="15">
        <v>0.36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f t="shared" ref="N138:N141" si="6">0.05/3*2</f>
        <v>3.3333333333333333E-2</v>
      </c>
      <c r="O138" s="15">
        <v>0</v>
      </c>
      <c r="P138" s="15">
        <f t="shared" ref="P138:P141" si="7">0.05/3</f>
        <v>1.6666666666666666E-2</v>
      </c>
      <c r="Q138" s="15">
        <v>0</v>
      </c>
      <c r="R138" s="15">
        <v>0</v>
      </c>
      <c r="S138" s="15">
        <v>0</v>
      </c>
      <c r="T138" s="15">
        <v>0</v>
      </c>
      <c r="U138" s="13">
        <v>0</v>
      </c>
    </row>
    <row r="139" spans="1:21" ht="15" x14ac:dyDescent="0.2">
      <c r="A139" s="12">
        <v>505</v>
      </c>
      <c r="B139" s="13">
        <v>403</v>
      </c>
      <c r="C139" s="14">
        <v>0.65</v>
      </c>
      <c r="D139" s="15">
        <v>0.6</v>
      </c>
      <c r="E139" s="15">
        <v>0.35</v>
      </c>
      <c r="F139" s="15">
        <v>0.35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f t="shared" si="6"/>
        <v>3.3333333333333333E-2</v>
      </c>
      <c r="O139" s="15">
        <v>0</v>
      </c>
      <c r="P139" s="15">
        <f t="shared" si="7"/>
        <v>1.6666666666666666E-2</v>
      </c>
      <c r="Q139" s="15">
        <v>0</v>
      </c>
      <c r="R139" s="15">
        <v>0</v>
      </c>
      <c r="S139" s="15">
        <v>0</v>
      </c>
      <c r="T139" s="15">
        <v>0</v>
      </c>
      <c r="U139" s="13">
        <v>0</v>
      </c>
    </row>
    <row r="140" spans="1:21" ht="15" x14ac:dyDescent="0.2">
      <c r="A140" s="12">
        <v>475</v>
      </c>
      <c r="B140" s="13">
        <v>408</v>
      </c>
      <c r="C140" s="14">
        <v>0.66</v>
      </c>
      <c r="D140" s="15">
        <v>0.61</v>
      </c>
      <c r="E140" s="15">
        <v>0.33999999999999997</v>
      </c>
      <c r="F140" s="15">
        <v>0.33999999999999997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f t="shared" si="6"/>
        <v>3.3333333333333333E-2</v>
      </c>
      <c r="O140" s="15">
        <v>0</v>
      </c>
      <c r="P140" s="15">
        <f t="shared" si="7"/>
        <v>1.6666666666666666E-2</v>
      </c>
      <c r="Q140" s="15">
        <v>0</v>
      </c>
      <c r="R140" s="15">
        <v>0</v>
      </c>
      <c r="S140" s="15">
        <v>0</v>
      </c>
      <c r="T140" s="15">
        <v>0</v>
      </c>
      <c r="U140" s="13">
        <v>0</v>
      </c>
    </row>
    <row r="141" spans="1:21" ht="15" x14ac:dyDescent="0.2">
      <c r="A141" s="12">
        <v>385</v>
      </c>
      <c r="B141" s="13">
        <v>414</v>
      </c>
      <c r="C141" s="14">
        <v>0.67</v>
      </c>
      <c r="D141" s="15">
        <v>0.62</v>
      </c>
      <c r="E141" s="15">
        <v>0.32999999999999996</v>
      </c>
      <c r="F141" s="15">
        <v>0.32999999999999996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f t="shared" si="6"/>
        <v>3.3333333333333333E-2</v>
      </c>
      <c r="O141" s="15">
        <v>0</v>
      </c>
      <c r="P141" s="15">
        <f t="shared" si="7"/>
        <v>1.6666666666666666E-2</v>
      </c>
      <c r="Q141" s="15">
        <v>0</v>
      </c>
      <c r="R141" s="15">
        <v>0</v>
      </c>
      <c r="S141" s="15">
        <v>0</v>
      </c>
      <c r="T141" s="15">
        <v>0</v>
      </c>
      <c r="U141" s="13">
        <v>0</v>
      </c>
    </row>
    <row r="142" spans="1:21" ht="15" x14ac:dyDescent="0.2">
      <c r="A142" s="12">
        <v>378</v>
      </c>
      <c r="B142" s="13">
        <v>402</v>
      </c>
      <c r="C142" s="14">
        <v>0.58000000000000007</v>
      </c>
      <c r="D142" s="15">
        <v>0.56000000000000005</v>
      </c>
      <c r="E142" s="15">
        <v>0.41999999999999993</v>
      </c>
      <c r="F142" s="15">
        <v>0.31499999999999995</v>
      </c>
      <c r="G142" s="15">
        <v>0</v>
      </c>
      <c r="H142" s="15">
        <v>0</v>
      </c>
      <c r="I142" s="15">
        <v>0</v>
      </c>
      <c r="J142" s="15">
        <f>0.02/3</f>
        <v>6.6666666666666671E-3</v>
      </c>
      <c r="K142" s="15">
        <v>0</v>
      </c>
      <c r="L142" s="15">
        <v>0</v>
      </c>
      <c r="M142" s="15">
        <v>0.10499999999999998</v>
      </c>
      <c r="N142" s="15">
        <f>0.02/3*2</f>
        <v>1.3333333333333334E-2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3">
        <v>0</v>
      </c>
    </row>
    <row r="143" spans="1:21" ht="15" x14ac:dyDescent="0.2">
      <c r="A143" s="12">
        <v>418</v>
      </c>
      <c r="B143" s="13">
        <v>407</v>
      </c>
      <c r="C143" s="14">
        <v>0.59</v>
      </c>
      <c r="D143" s="15">
        <v>0.56999999999999995</v>
      </c>
      <c r="E143" s="15">
        <v>0.41000000000000003</v>
      </c>
      <c r="F143" s="15">
        <v>0.3075</v>
      </c>
      <c r="G143" s="15">
        <v>0</v>
      </c>
      <c r="H143" s="15">
        <v>0</v>
      </c>
      <c r="I143" s="15">
        <v>0</v>
      </c>
      <c r="J143" s="15">
        <f t="shared" ref="J143:J146" si="8">0.02/3</f>
        <v>6.6666666666666671E-3</v>
      </c>
      <c r="K143" s="15">
        <v>0</v>
      </c>
      <c r="L143" s="15">
        <v>0</v>
      </c>
      <c r="M143" s="15">
        <v>0.10250000000000001</v>
      </c>
      <c r="N143" s="15">
        <f t="shared" ref="N143:N145" si="9">0.02/3*2</f>
        <v>1.3333333333333334E-2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3">
        <v>0</v>
      </c>
    </row>
    <row r="144" spans="1:21" ht="15" x14ac:dyDescent="0.2">
      <c r="A144" s="12">
        <v>424</v>
      </c>
      <c r="B144" s="13">
        <v>412</v>
      </c>
      <c r="C144" s="14">
        <v>0.59499999999999997</v>
      </c>
      <c r="D144" s="15">
        <v>0.57499999999999996</v>
      </c>
      <c r="E144" s="15">
        <v>0.40500000000000003</v>
      </c>
      <c r="F144" s="15">
        <v>0.30375000000000002</v>
      </c>
      <c r="G144" s="15">
        <v>0</v>
      </c>
      <c r="H144" s="15">
        <v>0</v>
      </c>
      <c r="I144" s="15">
        <v>0</v>
      </c>
      <c r="J144" s="15">
        <f t="shared" si="8"/>
        <v>6.6666666666666671E-3</v>
      </c>
      <c r="K144" s="15">
        <v>0</v>
      </c>
      <c r="L144" s="15">
        <v>0</v>
      </c>
      <c r="M144" s="15">
        <v>0.10125000000000001</v>
      </c>
      <c r="N144" s="15">
        <f t="shared" si="9"/>
        <v>1.3333333333333334E-2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3">
        <v>0</v>
      </c>
    </row>
    <row r="145" spans="1:21" ht="15" x14ac:dyDescent="0.2">
      <c r="A145" s="12">
        <v>380</v>
      </c>
      <c r="B145" s="13">
        <v>415</v>
      </c>
      <c r="C145" s="14">
        <v>0.6</v>
      </c>
      <c r="D145" s="15">
        <v>0.57999999999999996</v>
      </c>
      <c r="E145" s="15">
        <v>0.4</v>
      </c>
      <c r="F145" s="15">
        <v>0.30000000000000004</v>
      </c>
      <c r="G145" s="15">
        <v>0</v>
      </c>
      <c r="H145" s="15">
        <v>0</v>
      </c>
      <c r="I145" s="15">
        <v>0</v>
      </c>
      <c r="J145" s="15">
        <f t="shared" si="8"/>
        <v>6.6666666666666671E-3</v>
      </c>
      <c r="K145" s="15">
        <v>0</v>
      </c>
      <c r="L145" s="15">
        <v>0</v>
      </c>
      <c r="M145" s="15">
        <v>0.1</v>
      </c>
      <c r="N145" s="15">
        <f t="shared" si="9"/>
        <v>1.3333333333333334E-2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3">
        <v>0</v>
      </c>
    </row>
    <row r="146" spans="1:21" ht="15" x14ac:dyDescent="0.2">
      <c r="A146" s="12">
        <v>330</v>
      </c>
      <c r="B146" s="13">
        <v>424</v>
      </c>
      <c r="C146" s="14">
        <v>0.62</v>
      </c>
      <c r="D146" s="15">
        <v>0.6</v>
      </c>
      <c r="E146" s="15">
        <v>0.38</v>
      </c>
      <c r="F146" s="15">
        <v>0.28500000000000003</v>
      </c>
      <c r="G146" s="15">
        <v>0</v>
      </c>
      <c r="H146" s="15">
        <v>0</v>
      </c>
      <c r="I146" s="15">
        <v>0</v>
      </c>
      <c r="J146" s="15">
        <f t="shared" si="8"/>
        <v>6.6666666666666671E-3</v>
      </c>
      <c r="K146" s="15">
        <v>0</v>
      </c>
      <c r="L146" s="15">
        <v>0</v>
      </c>
      <c r="M146" s="15">
        <v>9.5000000000000001E-2</v>
      </c>
      <c r="N146" s="15">
        <f>0.02/3*2</f>
        <v>1.3333333333333334E-2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3">
        <v>0</v>
      </c>
    </row>
    <row r="147" spans="1:21" ht="15" x14ac:dyDescent="0.2">
      <c r="A147" s="12">
        <v>298</v>
      </c>
      <c r="B147" s="13">
        <v>378</v>
      </c>
      <c r="C147" s="14">
        <f>D147+0.05</f>
        <v>0.6100000000000001</v>
      </c>
      <c r="D147" s="15">
        <v>0.56000000000000005</v>
      </c>
      <c r="E147" s="15">
        <v>0.3899999999999999</v>
      </c>
      <c r="F147" s="15">
        <v>0.3899999999999999</v>
      </c>
      <c r="G147" s="15">
        <v>0</v>
      </c>
      <c r="H147" s="15">
        <v>0</v>
      </c>
      <c r="I147" s="15">
        <v>0</v>
      </c>
      <c r="J147" s="15">
        <f>0.05/3*2</f>
        <v>3.3333333333333333E-2</v>
      </c>
      <c r="K147" s="15">
        <v>0</v>
      </c>
      <c r="L147" s="15">
        <v>0</v>
      </c>
      <c r="M147" s="15">
        <v>0</v>
      </c>
      <c r="N147" s="15">
        <f>0.05/3</f>
        <v>1.6666666666666666E-2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3">
        <v>0</v>
      </c>
    </row>
    <row r="148" spans="1:21" ht="15" x14ac:dyDescent="0.2">
      <c r="A148" s="12">
        <v>368</v>
      </c>
      <c r="B148" s="13">
        <v>397</v>
      </c>
      <c r="C148" s="14">
        <f t="shared" ref="C148:C151" si="10">D148+0.05</f>
        <v>0.63</v>
      </c>
      <c r="D148" s="15">
        <v>0.57999999999999996</v>
      </c>
      <c r="E148" s="15">
        <v>0.37</v>
      </c>
      <c r="F148" s="15">
        <v>0.37</v>
      </c>
      <c r="G148" s="15">
        <v>0</v>
      </c>
      <c r="H148" s="15">
        <v>0</v>
      </c>
      <c r="I148" s="15">
        <v>0</v>
      </c>
      <c r="J148" s="15">
        <f t="shared" ref="J148:J151" si="11">0.05/3*2</f>
        <v>3.3333333333333333E-2</v>
      </c>
      <c r="K148" s="15">
        <v>0</v>
      </c>
      <c r="L148" s="15">
        <v>0</v>
      </c>
      <c r="M148" s="15">
        <v>0</v>
      </c>
      <c r="N148" s="15">
        <f t="shared" ref="N148:N151" si="12">0.05/3</f>
        <v>1.6666666666666666E-2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3">
        <v>0</v>
      </c>
    </row>
    <row r="149" spans="1:21" ht="15" x14ac:dyDescent="0.2">
      <c r="A149" s="12">
        <v>490</v>
      </c>
      <c r="B149" s="13">
        <v>417</v>
      </c>
      <c r="C149" s="14">
        <f t="shared" si="10"/>
        <v>0.65</v>
      </c>
      <c r="D149" s="19">
        <v>0.6</v>
      </c>
      <c r="E149" s="15">
        <v>0.35</v>
      </c>
      <c r="F149" s="15">
        <v>0.35</v>
      </c>
      <c r="G149" s="15">
        <v>0</v>
      </c>
      <c r="H149" s="15">
        <v>0</v>
      </c>
      <c r="I149" s="15">
        <v>0</v>
      </c>
      <c r="J149" s="15">
        <f t="shared" si="11"/>
        <v>3.3333333333333333E-2</v>
      </c>
      <c r="K149" s="15">
        <v>0</v>
      </c>
      <c r="L149" s="15">
        <v>0</v>
      </c>
      <c r="M149" s="15">
        <v>0</v>
      </c>
      <c r="N149" s="15">
        <f t="shared" si="12"/>
        <v>1.6666666666666666E-2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3">
        <v>0</v>
      </c>
    </row>
    <row r="150" spans="1:21" ht="15" x14ac:dyDescent="0.2">
      <c r="A150" s="12">
        <v>313</v>
      </c>
      <c r="B150" s="13">
        <v>428</v>
      </c>
      <c r="C150" s="14">
        <f t="shared" si="10"/>
        <v>0.67</v>
      </c>
      <c r="D150" s="15">
        <v>0.62</v>
      </c>
      <c r="E150" s="15">
        <v>0.32999999999999996</v>
      </c>
      <c r="F150" s="15">
        <v>0.32999999999999996</v>
      </c>
      <c r="G150" s="15">
        <v>0</v>
      </c>
      <c r="H150" s="15">
        <v>0</v>
      </c>
      <c r="I150" s="15">
        <v>0</v>
      </c>
      <c r="J150" s="15">
        <f t="shared" si="11"/>
        <v>3.3333333333333333E-2</v>
      </c>
      <c r="K150" s="15">
        <v>0</v>
      </c>
      <c r="L150" s="15">
        <v>0</v>
      </c>
      <c r="M150" s="15">
        <v>0</v>
      </c>
      <c r="N150" s="15">
        <f t="shared" si="12"/>
        <v>1.6666666666666666E-2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3">
        <v>0</v>
      </c>
    </row>
    <row r="151" spans="1:21" ht="15" x14ac:dyDescent="0.2">
      <c r="A151" s="12">
        <v>192</v>
      </c>
      <c r="B151" s="13">
        <v>447</v>
      </c>
      <c r="C151" s="14">
        <f t="shared" si="10"/>
        <v>0.69000000000000006</v>
      </c>
      <c r="D151" s="15">
        <v>0.64</v>
      </c>
      <c r="E151" s="15">
        <v>0.30999999999999994</v>
      </c>
      <c r="F151" s="15">
        <v>0.30999999999999994</v>
      </c>
      <c r="G151" s="15">
        <v>0</v>
      </c>
      <c r="H151" s="15">
        <v>0</v>
      </c>
      <c r="I151" s="15">
        <v>0</v>
      </c>
      <c r="J151" s="15">
        <f t="shared" si="11"/>
        <v>3.3333333333333333E-2</v>
      </c>
      <c r="K151" s="15">
        <v>0</v>
      </c>
      <c r="L151" s="15">
        <v>0</v>
      </c>
      <c r="M151" s="15">
        <v>0</v>
      </c>
      <c r="N151" s="15">
        <f t="shared" si="12"/>
        <v>1.6666666666666666E-2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3">
        <v>0</v>
      </c>
    </row>
    <row r="152" spans="1:21" ht="15" x14ac:dyDescent="0.2">
      <c r="A152" s="12">
        <v>4</v>
      </c>
      <c r="B152" s="13">
        <f>(407+424)/2</f>
        <v>415.5</v>
      </c>
      <c r="C152" s="14">
        <f>D152*2</f>
        <v>0.6</v>
      </c>
      <c r="D152" s="15">
        <v>0.3</v>
      </c>
      <c r="E152" s="15">
        <f>1-2*D152</f>
        <v>0.4</v>
      </c>
      <c r="F152" s="15">
        <f>E152</f>
        <v>0.4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f>D152/3*2</f>
        <v>0.19999999999999998</v>
      </c>
      <c r="O152" s="15">
        <v>0</v>
      </c>
      <c r="P152" s="15">
        <v>0</v>
      </c>
      <c r="Q152" s="15">
        <v>0</v>
      </c>
      <c r="R152" s="15">
        <f>D152/3</f>
        <v>9.9999999999999992E-2</v>
      </c>
      <c r="S152" s="15">
        <v>0</v>
      </c>
      <c r="T152" s="15">
        <v>0</v>
      </c>
      <c r="U152" s="13">
        <v>0</v>
      </c>
    </row>
    <row r="153" spans="1:21" ht="15" x14ac:dyDescent="0.2">
      <c r="A153" s="12">
        <v>10</v>
      </c>
      <c r="B153" s="13">
        <f>(383+416)/2</f>
        <v>399.5</v>
      </c>
      <c r="C153" s="14">
        <f t="shared" ref="C153" si="13">D153*2</f>
        <v>0.68</v>
      </c>
      <c r="D153" s="15">
        <v>0.34</v>
      </c>
      <c r="E153" s="15">
        <f t="shared" ref="E153" si="14">1-2*D153</f>
        <v>0.31999999999999995</v>
      </c>
      <c r="F153" s="15">
        <f t="shared" ref="F153" si="15">E153</f>
        <v>0.31999999999999995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f t="shared" ref="N153" si="16">D153/3*2</f>
        <v>0.22666666666666668</v>
      </c>
      <c r="O153" s="15">
        <v>0</v>
      </c>
      <c r="P153" s="15">
        <v>0</v>
      </c>
      <c r="Q153" s="15">
        <v>0</v>
      </c>
      <c r="R153" s="15">
        <f t="shared" ref="R153" si="17">D153/3</f>
        <v>0.11333333333333334</v>
      </c>
      <c r="S153" s="15">
        <v>0</v>
      </c>
      <c r="T153" s="15">
        <v>0</v>
      </c>
      <c r="U153" s="13">
        <v>0</v>
      </c>
    </row>
    <row r="154" spans="1:21" ht="15" x14ac:dyDescent="0.2">
      <c r="A154" s="12">
        <v>438</v>
      </c>
      <c r="B154" s="13">
        <v>458</v>
      </c>
      <c r="C154" s="14">
        <v>0.64</v>
      </c>
      <c r="D154" s="15">
        <v>0.64</v>
      </c>
      <c r="E154" s="15">
        <v>0.36</v>
      </c>
      <c r="F154" s="15">
        <v>0.36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3">
        <v>0</v>
      </c>
    </row>
    <row r="155" spans="1:21" ht="15" x14ac:dyDescent="0.2">
      <c r="A155" s="12">
        <v>453</v>
      </c>
      <c r="B155" s="13">
        <v>405</v>
      </c>
      <c r="C155" s="14">
        <v>0.64</v>
      </c>
      <c r="D155" s="15">
        <v>0.57600000000000007</v>
      </c>
      <c r="E155" s="15">
        <v>0.36</v>
      </c>
      <c r="F155" s="15">
        <v>0.39200000000000002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0.05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3">
        <v>0</v>
      </c>
    </row>
    <row r="156" spans="1:21" ht="15" x14ac:dyDescent="0.2">
      <c r="A156" s="12">
        <v>367</v>
      </c>
      <c r="B156" s="13">
        <v>357</v>
      </c>
      <c r="C156" s="14">
        <v>0.64</v>
      </c>
      <c r="D156" s="15">
        <v>0.51200000000000001</v>
      </c>
      <c r="E156" s="15">
        <v>0.36</v>
      </c>
      <c r="F156" s="15">
        <v>0.42399999999999999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0.1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3">
        <v>0</v>
      </c>
    </row>
    <row r="157" spans="1:21" ht="15" x14ac:dyDescent="0.2">
      <c r="A157" s="12">
        <v>190</v>
      </c>
      <c r="B157" s="13">
        <v>360</v>
      </c>
      <c r="C157" s="14">
        <f>D157+0.1</f>
        <v>0.66</v>
      </c>
      <c r="D157" s="15">
        <v>0.56000000000000005</v>
      </c>
      <c r="E157" s="15">
        <f>0.9-D157</f>
        <v>0.33999999999999997</v>
      </c>
      <c r="F157" s="15">
        <v>0.33999999999999997</v>
      </c>
      <c r="G157" s="15">
        <v>0</v>
      </c>
      <c r="H157" s="15">
        <v>0</v>
      </c>
      <c r="I157" s="15">
        <f>D157/3</f>
        <v>0.18666666666666668</v>
      </c>
      <c r="J157" s="15">
        <v>0</v>
      </c>
      <c r="K157" s="15">
        <v>0</v>
      </c>
      <c r="L157" s="15">
        <v>0</v>
      </c>
      <c r="M157" s="15">
        <v>0</v>
      </c>
      <c r="N157" s="15">
        <f>0.1/3*2</f>
        <v>6.6666666666666666E-2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3">
        <v>0</v>
      </c>
    </row>
    <row r="158" spans="1:21" ht="15" x14ac:dyDescent="0.2">
      <c r="A158" s="12">
        <v>402</v>
      </c>
      <c r="B158" s="13">
        <v>443</v>
      </c>
      <c r="C158" s="14">
        <v>0.64</v>
      </c>
      <c r="D158" s="15">
        <v>0.64</v>
      </c>
      <c r="E158" s="15">
        <v>0.36</v>
      </c>
      <c r="F158" s="15">
        <f>0.36-H158</f>
        <v>0.36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3">
        <v>0</v>
      </c>
    </row>
    <row r="159" spans="1:21" ht="15" x14ac:dyDescent="0.2">
      <c r="A159" s="12">
        <v>433</v>
      </c>
      <c r="B159" s="13">
        <v>434</v>
      </c>
      <c r="C159" s="14">
        <v>0.64</v>
      </c>
      <c r="D159" s="15">
        <v>0.64</v>
      </c>
      <c r="E159" s="15">
        <v>0.36</v>
      </c>
      <c r="F159" s="15">
        <f>0.36-H159</f>
        <v>0.35819999999999996</v>
      </c>
      <c r="G159" s="15">
        <v>0</v>
      </c>
      <c r="H159" s="15">
        <v>1.8E-3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3">
        <v>0</v>
      </c>
    </row>
    <row r="160" spans="1:21" ht="15" x14ac:dyDescent="0.2">
      <c r="A160" s="12">
        <v>476</v>
      </c>
      <c r="B160" s="13">
        <v>420</v>
      </c>
      <c r="C160" s="14">
        <v>0.64</v>
      </c>
      <c r="D160" s="15">
        <v>0.64</v>
      </c>
      <c r="E160" s="15">
        <v>0.36</v>
      </c>
      <c r="F160" s="15">
        <f>0.36-H160</f>
        <v>0.35639999999999999</v>
      </c>
      <c r="G160" s="15">
        <v>0</v>
      </c>
      <c r="H160" s="15">
        <v>3.5999999999999999E-3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3">
        <v>0</v>
      </c>
    </row>
    <row r="161" spans="1:21" ht="15" x14ac:dyDescent="0.2">
      <c r="A161" s="12">
        <v>447</v>
      </c>
      <c r="B161" s="13">
        <v>415</v>
      </c>
      <c r="C161" s="14">
        <v>0.64</v>
      </c>
      <c r="D161" s="15">
        <v>0.64</v>
      </c>
      <c r="E161" s="15">
        <v>0.36</v>
      </c>
      <c r="F161" s="15">
        <f>0.36-H161</f>
        <v>0.3528</v>
      </c>
      <c r="G161" s="15">
        <v>0</v>
      </c>
      <c r="H161" s="15">
        <v>7.1999999999999998E-3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3">
        <v>0</v>
      </c>
    </row>
    <row r="162" spans="1:21" ht="15" x14ac:dyDescent="0.2">
      <c r="A162" s="12">
        <v>440</v>
      </c>
      <c r="B162" s="13">
        <v>450</v>
      </c>
      <c r="C162" s="14">
        <v>0.64</v>
      </c>
      <c r="D162" s="15">
        <v>0.64</v>
      </c>
      <c r="E162" s="15">
        <v>0.36</v>
      </c>
      <c r="F162" s="15">
        <f>0.36-U162</f>
        <v>0.36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3">
        <v>0</v>
      </c>
    </row>
    <row r="163" spans="1:21" ht="15" x14ac:dyDescent="0.2">
      <c r="A163" s="12">
        <v>250</v>
      </c>
      <c r="B163" s="13">
        <v>435</v>
      </c>
      <c r="C163" s="14">
        <v>0.64</v>
      </c>
      <c r="D163" s="15">
        <v>0.64</v>
      </c>
      <c r="E163" s="15">
        <v>0.36</v>
      </c>
      <c r="F163" s="15">
        <f>0.36-U163</f>
        <v>0.33999999999999997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3">
        <v>0.02</v>
      </c>
    </row>
    <row r="164" spans="1:21" ht="15" x14ac:dyDescent="0.2">
      <c r="A164" s="12">
        <v>210</v>
      </c>
      <c r="B164" s="13">
        <v>420</v>
      </c>
      <c r="C164" s="14">
        <v>0.64</v>
      </c>
      <c r="D164" s="15">
        <v>0.64</v>
      </c>
      <c r="E164" s="15">
        <v>0.36</v>
      </c>
      <c r="F164" s="15">
        <f>0.36-U164</f>
        <v>0.31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3">
        <v>0.05</v>
      </c>
    </row>
    <row r="165" spans="1:21" ht="15" x14ac:dyDescent="0.2">
      <c r="A165" s="12">
        <v>260</v>
      </c>
      <c r="B165" s="13">
        <v>463</v>
      </c>
      <c r="C165" s="14">
        <v>0.6</v>
      </c>
      <c r="D165" s="15">
        <f>E165*0.1*0.5+C165</f>
        <v>0.62</v>
      </c>
      <c r="E165" s="15">
        <v>0.4</v>
      </c>
      <c r="F165" s="15">
        <f>E165*0.9</f>
        <v>0.36000000000000004</v>
      </c>
      <c r="G165" s="15">
        <v>0</v>
      </c>
      <c r="H165" s="15">
        <v>0</v>
      </c>
      <c r="I165" s="15">
        <v>0</v>
      </c>
      <c r="J165" s="15">
        <f>E165*0.1*0.5</f>
        <v>2.0000000000000004E-2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3">
        <v>0</v>
      </c>
    </row>
    <row r="166" spans="1:21" ht="15" x14ac:dyDescent="0.2">
      <c r="A166" s="12">
        <v>240</v>
      </c>
      <c r="B166" s="13">
        <v>449</v>
      </c>
      <c r="C166" s="14">
        <v>0.62</v>
      </c>
      <c r="D166" s="15">
        <f t="shared" ref="D166:D168" si="18">E166*0.1*0.5+C166</f>
        <v>0.63900000000000001</v>
      </c>
      <c r="E166" s="15">
        <v>0.38</v>
      </c>
      <c r="F166" s="15">
        <f t="shared" ref="F166:F168" si="19">E166*0.9</f>
        <v>0.34200000000000003</v>
      </c>
      <c r="G166" s="15">
        <v>0</v>
      </c>
      <c r="H166" s="15">
        <v>0</v>
      </c>
      <c r="I166" s="15">
        <v>0</v>
      </c>
      <c r="J166" s="15">
        <f t="shared" ref="J166:J168" si="20">E166*0.1*0.5</f>
        <v>1.9000000000000003E-2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3">
        <v>0</v>
      </c>
    </row>
    <row r="167" spans="1:21" ht="15" x14ac:dyDescent="0.2">
      <c r="A167" s="12">
        <v>245</v>
      </c>
      <c r="B167" s="13">
        <v>435</v>
      </c>
      <c r="C167" s="14">
        <v>0.64</v>
      </c>
      <c r="D167" s="15">
        <f t="shared" si="18"/>
        <v>0.65800000000000003</v>
      </c>
      <c r="E167" s="15">
        <v>0.36</v>
      </c>
      <c r="F167" s="15">
        <f t="shared" si="19"/>
        <v>0.32400000000000001</v>
      </c>
      <c r="G167" s="15">
        <v>0</v>
      </c>
      <c r="H167" s="15">
        <v>0</v>
      </c>
      <c r="I167" s="15">
        <v>0</v>
      </c>
      <c r="J167" s="15">
        <f t="shared" si="20"/>
        <v>1.7999999999999999E-2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3">
        <v>0</v>
      </c>
    </row>
    <row r="168" spans="1:21" ht="15" x14ac:dyDescent="0.2">
      <c r="A168" s="12">
        <v>240</v>
      </c>
      <c r="B168" s="13">
        <v>419</v>
      </c>
      <c r="C168" s="14">
        <v>0.66</v>
      </c>
      <c r="D168" s="15">
        <f t="shared" si="18"/>
        <v>0.67700000000000005</v>
      </c>
      <c r="E168" s="15">
        <v>0.33999999999999997</v>
      </c>
      <c r="F168" s="15">
        <f t="shared" si="19"/>
        <v>0.30599999999999999</v>
      </c>
      <c r="G168" s="15">
        <v>0</v>
      </c>
      <c r="H168" s="15">
        <v>0</v>
      </c>
      <c r="I168" s="15">
        <v>0</v>
      </c>
      <c r="J168" s="15">
        <f t="shared" si="20"/>
        <v>1.6999999999999998E-2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3">
        <v>0</v>
      </c>
    </row>
    <row r="169" spans="1:21" ht="15" x14ac:dyDescent="0.2">
      <c r="A169" s="12">
        <v>320</v>
      </c>
      <c r="B169" s="13">
        <v>460</v>
      </c>
      <c r="C169" s="14">
        <f t="shared" ref="C169:C173" si="21">0.64*(1-N169)</f>
        <v>0.64</v>
      </c>
      <c r="D169" s="15">
        <v>0.64</v>
      </c>
      <c r="E169" s="15">
        <v>0.36</v>
      </c>
      <c r="F169" s="15">
        <v>0.36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3">
        <v>0</v>
      </c>
    </row>
    <row r="170" spans="1:21" ht="15" x14ac:dyDescent="0.2">
      <c r="A170" s="12">
        <v>340</v>
      </c>
      <c r="B170" s="13">
        <v>410</v>
      </c>
      <c r="C170" s="14">
        <f t="shared" si="21"/>
        <v>0.62719999999999998</v>
      </c>
      <c r="D170" s="15">
        <v>0.62719999999999998</v>
      </c>
      <c r="E170" s="15">
        <v>0.36</v>
      </c>
      <c r="F170" s="15">
        <v>0.36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0.02</v>
      </c>
      <c r="O170" s="15">
        <v>0</v>
      </c>
      <c r="P170" s="15">
        <v>0</v>
      </c>
      <c r="Q170" s="15">
        <v>0</v>
      </c>
      <c r="R170" s="15">
        <v>0</v>
      </c>
      <c r="S170" s="15">
        <v>0.02</v>
      </c>
      <c r="T170" s="15">
        <v>0</v>
      </c>
      <c r="U170" s="13">
        <v>0</v>
      </c>
    </row>
    <row r="171" spans="1:21" ht="15" x14ac:dyDescent="0.2">
      <c r="A171" s="12">
        <v>460</v>
      </c>
      <c r="B171" s="13">
        <v>345</v>
      </c>
      <c r="C171" s="14">
        <f t="shared" si="21"/>
        <v>0.61439999999999995</v>
      </c>
      <c r="D171" s="15">
        <v>0.61439999999999995</v>
      </c>
      <c r="E171" s="15">
        <v>0.36</v>
      </c>
      <c r="F171" s="15">
        <v>0.36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0.04</v>
      </c>
      <c r="O171" s="15">
        <v>0</v>
      </c>
      <c r="P171" s="15">
        <v>0</v>
      </c>
      <c r="Q171" s="15">
        <v>0</v>
      </c>
      <c r="R171" s="15">
        <v>0</v>
      </c>
      <c r="S171" s="15">
        <v>0.04</v>
      </c>
      <c r="T171" s="15">
        <v>0</v>
      </c>
      <c r="U171" s="13">
        <v>0</v>
      </c>
    </row>
    <row r="172" spans="1:21" ht="15" x14ac:dyDescent="0.2">
      <c r="A172" s="12">
        <v>465</v>
      </c>
      <c r="B172" s="13">
        <v>300</v>
      </c>
      <c r="C172" s="14">
        <f t="shared" si="21"/>
        <v>0.60160000000000002</v>
      </c>
      <c r="D172" s="15">
        <v>0.60160000000000002</v>
      </c>
      <c r="E172" s="15">
        <v>0.36</v>
      </c>
      <c r="F172" s="15">
        <v>0.36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0.06</v>
      </c>
      <c r="O172" s="15">
        <v>0</v>
      </c>
      <c r="P172" s="15">
        <v>0</v>
      </c>
      <c r="Q172" s="15">
        <v>0</v>
      </c>
      <c r="R172" s="15">
        <v>0</v>
      </c>
      <c r="S172" s="15">
        <v>0.06</v>
      </c>
      <c r="T172" s="15">
        <v>0</v>
      </c>
      <c r="U172" s="13">
        <v>0</v>
      </c>
    </row>
    <row r="173" spans="1:21" ht="15" x14ac:dyDescent="0.2">
      <c r="A173" s="12">
        <v>340</v>
      </c>
      <c r="B173" s="13">
        <v>240</v>
      </c>
      <c r="C173" s="14">
        <f t="shared" si="21"/>
        <v>0.58879999999999999</v>
      </c>
      <c r="D173" s="15">
        <v>0.58879999999999999</v>
      </c>
      <c r="E173" s="15">
        <v>0.36</v>
      </c>
      <c r="F173" s="15">
        <v>0.36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0.08</v>
      </c>
      <c r="O173" s="15">
        <v>0</v>
      </c>
      <c r="P173" s="15">
        <v>0</v>
      </c>
      <c r="Q173" s="15">
        <v>0</v>
      </c>
      <c r="R173" s="15">
        <v>0</v>
      </c>
      <c r="S173" s="15">
        <v>0.08</v>
      </c>
      <c r="T173" s="15">
        <v>0</v>
      </c>
      <c r="U173" s="13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2051-A42F-464D-9FAE-2B473743EE9E}">
  <dimension ref="A1:AG26"/>
  <sheetViews>
    <sheetView tabSelected="1" workbookViewId="0">
      <selection activeCell="F3" sqref="F3"/>
    </sheetView>
  </sheetViews>
  <sheetFormatPr defaultRowHeight="14.25" x14ac:dyDescent="0.2"/>
  <cols>
    <col min="1" max="1" width="9" style="30"/>
  </cols>
  <sheetData>
    <row r="1" spans="1:33" s="30" customFormat="1" ht="15" thickBot="1" x14ac:dyDescent="0.25">
      <c r="A1" s="35" t="s">
        <v>21</v>
      </c>
      <c r="B1" s="36" t="s">
        <v>22</v>
      </c>
      <c r="C1" s="37" t="s">
        <v>23</v>
      </c>
      <c r="D1" s="37" t="s">
        <v>24</v>
      </c>
      <c r="E1" s="37" t="s">
        <v>25</v>
      </c>
      <c r="F1" s="37" t="s">
        <v>26</v>
      </c>
      <c r="G1" s="37" t="s">
        <v>27</v>
      </c>
      <c r="H1" s="37" t="s">
        <v>28</v>
      </c>
      <c r="I1" s="37" t="s">
        <v>29</v>
      </c>
      <c r="J1" s="37" t="s">
        <v>30</v>
      </c>
      <c r="K1" s="37" t="s">
        <v>31</v>
      </c>
      <c r="L1" s="37" t="s">
        <v>32</v>
      </c>
      <c r="M1" s="37" t="s">
        <v>33</v>
      </c>
      <c r="N1" s="37" t="s">
        <v>34</v>
      </c>
      <c r="O1" s="37" t="s">
        <v>35</v>
      </c>
      <c r="P1" s="37" t="s">
        <v>36</v>
      </c>
      <c r="Q1" s="37" t="s">
        <v>37</v>
      </c>
      <c r="R1" s="37" t="s">
        <v>38</v>
      </c>
      <c r="S1" s="37" t="s">
        <v>39</v>
      </c>
      <c r="T1" s="37" t="s">
        <v>40</v>
      </c>
      <c r="U1" s="37" t="s">
        <v>41</v>
      </c>
      <c r="V1" s="37" t="s">
        <v>42</v>
      </c>
      <c r="W1" s="37" t="s">
        <v>43</v>
      </c>
      <c r="X1" s="37" t="s">
        <v>44</v>
      </c>
      <c r="Y1" s="37" t="s">
        <v>45</v>
      </c>
      <c r="Z1" s="37" t="s">
        <v>46</v>
      </c>
      <c r="AA1" s="37" t="s">
        <v>47</v>
      </c>
      <c r="AB1" s="37" t="s">
        <v>48</v>
      </c>
      <c r="AC1" s="37" t="s">
        <v>49</v>
      </c>
      <c r="AD1" s="37" t="s">
        <v>50</v>
      </c>
      <c r="AE1" s="37" t="s">
        <v>51</v>
      </c>
      <c r="AF1" s="37" t="s">
        <v>52</v>
      </c>
      <c r="AG1" s="38" t="s">
        <v>53</v>
      </c>
    </row>
    <row r="2" spans="1:33" x14ac:dyDescent="0.2">
      <c r="A2" s="31" t="s">
        <v>2</v>
      </c>
      <c r="B2" s="32" t="s">
        <v>54</v>
      </c>
      <c r="C2" s="32">
        <v>119</v>
      </c>
      <c r="D2" s="32">
        <v>149</v>
      </c>
      <c r="E2" s="32">
        <v>154</v>
      </c>
      <c r="F2" s="32">
        <v>2.09</v>
      </c>
      <c r="G2" s="32">
        <v>1.43</v>
      </c>
      <c r="H2" s="32">
        <v>2.3199999999999998</v>
      </c>
      <c r="I2" s="32">
        <v>4</v>
      </c>
      <c r="J2" s="33">
        <f>X2/D2</f>
        <v>0.53691275167785235</v>
      </c>
      <c r="K2" s="33">
        <f>O2/D2</f>
        <v>8.2483221476510063E-2</v>
      </c>
      <c r="L2" s="33">
        <f>P2/D2</f>
        <v>3.7516778523489933E-2</v>
      </c>
      <c r="M2" s="33">
        <f>I2/S2</f>
        <v>4.878048780487805E-2</v>
      </c>
      <c r="N2" s="33">
        <f>R2/D2</f>
        <v>1.3422818791946308E-2</v>
      </c>
      <c r="O2" s="32">
        <v>12.29</v>
      </c>
      <c r="P2" s="32">
        <v>5.59</v>
      </c>
      <c r="Q2" s="32">
        <v>4.0999999999999996</v>
      </c>
      <c r="R2" s="32">
        <v>2</v>
      </c>
      <c r="S2" s="32">
        <v>82</v>
      </c>
      <c r="T2" s="32">
        <v>207.2</v>
      </c>
      <c r="U2" s="32">
        <v>3.0339999999999998</v>
      </c>
      <c r="V2" s="34">
        <v>154</v>
      </c>
      <c r="W2" s="32">
        <v>2</v>
      </c>
      <c r="X2" s="32">
        <f t="shared" ref="X2:X26" si="0">S2-R2</f>
        <v>80</v>
      </c>
      <c r="Y2" s="32">
        <v>1.55</v>
      </c>
      <c r="Z2" s="32">
        <v>1.92</v>
      </c>
      <c r="AA2" s="32">
        <v>1.9</v>
      </c>
      <c r="AB2" s="32">
        <v>35.1</v>
      </c>
      <c r="AC2" s="32">
        <v>254</v>
      </c>
      <c r="AD2" s="32">
        <v>715.6</v>
      </c>
      <c r="AE2" s="32">
        <v>1450.42</v>
      </c>
      <c r="AF2" s="32">
        <v>3081.48</v>
      </c>
      <c r="AG2" s="32">
        <f t="shared" ref="AG2:AG26" si="1">C2/140</f>
        <v>0.85</v>
      </c>
    </row>
    <row r="3" spans="1:33" x14ac:dyDescent="0.2">
      <c r="A3" s="29" t="s">
        <v>3</v>
      </c>
      <c r="B3" s="22" t="s">
        <v>55</v>
      </c>
      <c r="C3" s="22">
        <v>60.5</v>
      </c>
      <c r="D3" s="25">
        <v>0</v>
      </c>
      <c r="E3" s="22">
        <v>132</v>
      </c>
      <c r="F3" s="22">
        <v>2.58</v>
      </c>
      <c r="G3" s="22">
        <v>0.91</v>
      </c>
      <c r="H3" s="22">
        <v>1.81</v>
      </c>
      <c r="I3" s="22">
        <v>4</v>
      </c>
      <c r="J3" s="23">
        <f t="shared" ref="J3:J19" si="2">X3/C3</f>
        <v>0.2975206611570248</v>
      </c>
      <c r="K3" s="23">
        <f t="shared" ref="K3:K19" si="3">O3/C3</f>
        <v>7.9669421487603309E-2</v>
      </c>
      <c r="L3" s="23">
        <f t="shared" ref="L3:L19" si="4">P3/C3</f>
        <v>5.2066115702479335E-2</v>
      </c>
      <c r="M3" s="23">
        <f t="shared" ref="M3:M26" si="5">I3/S3</f>
        <v>0.18181818181818182</v>
      </c>
      <c r="N3" s="23">
        <f t="shared" ref="N3:N19" si="6">R3/C3</f>
        <v>6.6115702479338845E-2</v>
      </c>
      <c r="O3" s="22">
        <v>4.82</v>
      </c>
      <c r="P3" s="22">
        <v>3.15</v>
      </c>
      <c r="Q3" s="22">
        <v>3.8</v>
      </c>
      <c r="R3" s="22">
        <v>4</v>
      </c>
      <c r="S3" s="22">
        <v>22</v>
      </c>
      <c r="T3" s="22">
        <v>47.866999999999997</v>
      </c>
      <c r="U3" s="22">
        <v>1.764</v>
      </c>
      <c r="V3" s="24">
        <v>176</v>
      </c>
      <c r="W3" s="22">
        <v>0.185</v>
      </c>
      <c r="X3" s="22">
        <f t="shared" si="0"/>
        <v>18</v>
      </c>
      <c r="Y3" s="22">
        <v>1.32</v>
      </c>
      <c r="Z3" s="22">
        <v>1.86</v>
      </c>
      <c r="AA3" s="22">
        <v>1.5</v>
      </c>
      <c r="AB3" s="22">
        <v>7.6</v>
      </c>
      <c r="AC3" s="22">
        <v>246</v>
      </c>
      <c r="AD3" s="22">
        <v>658</v>
      </c>
      <c r="AE3" s="22">
        <v>1310</v>
      </c>
      <c r="AF3" s="22">
        <v>2653</v>
      </c>
      <c r="AG3" s="22">
        <f t="shared" si="1"/>
        <v>0.43214285714285716</v>
      </c>
    </row>
    <row r="4" spans="1:33" x14ac:dyDescent="0.2">
      <c r="A4" s="29" t="s">
        <v>4</v>
      </c>
      <c r="B4" s="22" t="s">
        <v>54</v>
      </c>
      <c r="C4" s="22">
        <v>103</v>
      </c>
      <c r="D4" s="22">
        <v>138.01</v>
      </c>
      <c r="E4" s="22">
        <v>152</v>
      </c>
      <c r="F4" s="22">
        <v>1.9970000000000001</v>
      </c>
      <c r="G4" s="22">
        <v>1.38</v>
      </c>
      <c r="H4" s="22">
        <v>2.25</v>
      </c>
      <c r="I4" s="22">
        <v>5</v>
      </c>
      <c r="J4" s="23">
        <f>X4/D4</f>
        <v>0.57966813998985589</v>
      </c>
      <c r="K4" s="23">
        <f>O4/D4</f>
        <v>9.6659662343308458E-2</v>
      </c>
      <c r="L4" s="23">
        <f>P4/D4</f>
        <v>4.5648866024201144E-2</v>
      </c>
      <c r="M4" s="23">
        <f t="shared" si="5"/>
        <v>6.0240963855421686E-2</v>
      </c>
      <c r="N4" s="23">
        <f>R4/D4</f>
        <v>2.1737555249619595E-2</v>
      </c>
      <c r="O4" s="22">
        <v>13.34</v>
      </c>
      <c r="P4" s="22">
        <v>6.3</v>
      </c>
      <c r="Q4" s="22">
        <v>4.1500000000000004</v>
      </c>
      <c r="R4" s="22">
        <v>3</v>
      </c>
      <c r="S4" s="22">
        <v>83</v>
      </c>
      <c r="T4" s="22">
        <v>208.9804</v>
      </c>
      <c r="U4" s="22">
        <v>3.5379999999999998</v>
      </c>
      <c r="V4" s="24">
        <v>143</v>
      </c>
      <c r="W4" s="22">
        <v>1.74</v>
      </c>
      <c r="X4" s="22">
        <f t="shared" si="0"/>
        <v>80</v>
      </c>
      <c r="Y4" s="22">
        <v>1.55</v>
      </c>
      <c r="Z4" s="22">
        <v>1.92</v>
      </c>
      <c r="AA4" s="22">
        <v>1.9</v>
      </c>
      <c r="AB4" s="22">
        <v>91.3</v>
      </c>
      <c r="AC4" s="22">
        <v>280</v>
      </c>
      <c r="AD4" s="22">
        <v>703.3</v>
      </c>
      <c r="AE4" s="22">
        <v>1610</v>
      </c>
      <c r="AF4" s="22">
        <v>2466</v>
      </c>
      <c r="AG4" s="22">
        <f t="shared" si="1"/>
        <v>0.73571428571428577</v>
      </c>
    </row>
    <row r="5" spans="1:33" x14ac:dyDescent="0.2">
      <c r="A5" s="29" t="s">
        <v>5</v>
      </c>
      <c r="B5" s="22" t="s">
        <v>55</v>
      </c>
      <c r="C5" s="22">
        <v>74.5</v>
      </c>
      <c r="D5" s="22">
        <v>0</v>
      </c>
      <c r="E5" s="22">
        <v>144</v>
      </c>
      <c r="F5" s="22">
        <v>2.75</v>
      </c>
      <c r="G5" s="22">
        <v>1.1000000000000001</v>
      </c>
      <c r="H5" s="22">
        <v>2.21</v>
      </c>
      <c r="I5" s="22">
        <v>3</v>
      </c>
      <c r="J5" s="23">
        <f t="shared" si="2"/>
        <v>0.24161073825503357</v>
      </c>
      <c r="K5" s="23">
        <f t="shared" si="3"/>
        <v>6.2147651006711407E-2</v>
      </c>
      <c r="L5" s="23">
        <f t="shared" si="4"/>
        <v>4.0268456375838924E-2</v>
      </c>
      <c r="M5" s="23">
        <f t="shared" si="5"/>
        <v>0.14285714285714285</v>
      </c>
      <c r="N5" s="23">
        <f t="shared" si="6"/>
        <v>4.0268456375838924E-2</v>
      </c>
      <c r="O5" s="22">
        <v>4.63</v>
      </c>
      <c r="P5" s="22">
        <v>3</v>
      </c>
      <c r="Q5" s="22">
        <v>3.25</v>
      </c>
      <c r="R5" s="22">
        <v>3</v>
      </c>
      <c r="S5" s="22">
        <v>21</v>
      </c>
      <c r="T5" s="22">
        <v>44.9559</v>
      </c>
      <c r="U5" s="22">
        <v>2.5</v>
      </c>
      <c r="V5" s="22">
        <v>184</v>
      </c>
      <c r="W5" s="22">
        <v>0.28599999999999998</v>
      </c>
      <c r="X5" s="22">
        <f t="shared" si="0"/>
        <v>18</v>
      </c>
      <c r="Y5" s="22">
        <v>1.2</v>
      </c>
      <c r="Z5" s="22">
        <v>1.5</v>
      </c>
      <c r="AA5" s="22">
        <v>1.3</v>
      </c>
      <c r="AB5" s="22">
        <v>18.100000000000001</v>
      </c>
      <c r="AC5" s="22">
        <v>258</v>
      </c>
      <c r="AD5" s="22">
        <v>631</v>
      </c>
      <c r="AE5" s="22">
        <v>1235</v>
      </c>
      <c r="AF5" s="22">
        <v>2389</v>
      </c>
      <c r="AG5" s="22">
        <f t="shared" si="1"/>
        <v>0.53214285714285714</v>
      </c>
    </row>
    <row r="6" spans="1:33" x14ac:dyDescent="0.2">
      <c r="A6" s="29" t="s">
        <v>6</v>
      </c>
      <c r="B6" s="22" t="s">
        <v>55</v>
      </c>
      <c r="C6" s="22">
        <v>69</v>
      </c>
      <c r="D6" s="22">
        <v>0</v>
      </c>
      <c r="E6" s="22">
        <v>115</v>
      </c>
      <c r="F6" s="22">
        <v>2.1800000000000002</v>
      </c>
      <c r="G6" s="22">
        <v>1.1299999999999999</v>
      </c>
      <c r="H6" s="22">
        <v>2.9</v>
      </c>
      <c r="I6" s="22">
        <v>10</v>
      </c>
      <c r="J6" s="23">
        <f t="shared" si="2"/>
        <v>0.37681159420289856</v>
      </c>
      <c r="K6" s="23">
        <f t="shared" si="3"/>
        <v>8.2753623188405803E-2</v>
      </c>
      <c r="L6" s="23">
        <f t="shared" si="4"/>
        <v>5.8695652173913038E-2</v>
      </c>
      <c r="M6" s="23">
        <f t="shared" si="5"/>
        <v>0.35714285714285715</v>
      </c>
      <c r="N6" s="23">
        <f t="shared" si="6"/>
        <v>2.8985507246376812E-2</v>
      </c>
      <c r="O6" s="22">
        <v>5.71</v>
      </c>
      <c r="P6" s="22">
        <v>4.05</v>
      </c>
      <c r="Q6" s="22">
        <v>5.2</v>
      </c>
      <c r="R6" s="22">
        <v>2</v>
      </c>
      <c r="S6" s="22">
        <v>28</v>
      </c>
      <c r="T6" s="22">
        <v>58.693399999999997</v>
      </c>
      <c r="U6" s="22">
        <v>1.093</v>
      </c>
      <c r="V6" s="22">
        <v>149</v>
      </c>
      <c r="W6" s="26">
        <v>0.38600000000000001</v>
      </c>
      <c r="X6" s="22">
        <f t="shared" si="0"/>
        <v>26</v>
      </c>
      <c r="Y6" s="22">
        <v>1.75</v>
      </c>
      <c r="Z6" s="22">
        <v>1.76</v>
      </c>
      <c r="AA6" s="22">
        <v>1.9</v>
      </c>
      <c r="AB6" s="22">
        <v>156</v>
      </c>
      <c r="AC6" s="22">
        <v>240</v>
      </c>
      <c r="AD6" s="22">
        <v>736.7</v>
      </c>
      <c r="AE6" s="22">
        <v>1753</v>
      </c>
      <c r="AF6" s="22">
        <v>3393</v>
      </c>
      <c r="AG6" s="22">
        <f t="shared" si="1"/>
        <v>0.49285714285714288</v>
      </c>
    </row>
    <row r="7" spans="1:33" x14ac:dyDescent="0.2">
      <c r="A7" s="29" t="s">
        <v>7</v>
      </c>
      <c r="B7" s="22" t="s">
        <v>55</v>
      </c>
      <c r="C7" s="22">
        <v>72</v>
      </c>
      <c r="D7" s="22">
        <v>0</v>
      </c>
      <c r="E7" s="22">
        <v>145</v>
      </c>
      <c r="F7" s="22">
        <v>2.8250000000000002</v>
      </c>
      <c r="G7" s="22">
        <v>0.98</v>
      </c>
      <c r="H7" s="22">
        <v>1.96</v>
      </c>
      <c r="I7" s="22">
        <v>4</v>
      </c>
      <c r="J7" s="23">
        <f t="shared" si="2"/>
        <v>0.5</v>
      </c>
      <c r="K7" s="23">
        <f t="shared" si="3"/>
        <v>8.9583333333333334E-2</v>
      </c>
      <c r="L7" s="23">
        <f t="shared" si="4"/>
        <v>4.1666666666666664E-2</v>
      </c>
      <c r="M7" s="23">
        <f t="shared" si="5"/>
        <v>0.1</v>
      </c>
      <c r="N7" s="23">
        <f t="shared" si="6"/>
        <v>5.5555555555555552E-2</v>
      </c>
      <c r="O7" s="22">
        <v>6.45</v>
      </c>
      <c r="P7" s="22">
        <v>3</v>
      </c>
      <c r="Q7" s="22">
        <v>3.45</v>
      </c>
      <c r="R7" s="22">
        <v>4</v>
      </c>
      <c r="S7" s="22">
        <v>40</v>
      </c>
      <c r="T7" s="22">
        <v>91.224000000000004</v>
      </c>
      <c r="U7" s="22">
        <v>2.3279999999999998</v>
      </c>
      <c r="V7" s="22">
        <v>206</v>
      </c>
      <c r="W7" s="22">
        <v>0.37</v>
      </c>
      <c r="X7" s="22">
        <f t="shared" si="0"/>
        <v>36</v>
      </c>
      <c r="Y7" s="22">
        <v>1.22</v>
      </c>
      <c r="Z7" s="22">
        <v>1.7</v>
      </c>
      <c r="AA7" s="22">
        <v>1.4</v>
      </c>
      <c r="AB7" s="22">
        <v>41.1</v>
      </c>
      <c r="AC7" s="22">
        <v>252</v>
      </c>
      <c r="AD7" s="22">
        <v>660</v>
      </c>
      <c r="AE7" s="22">
        <v>1267</v>
      </c>
      <c r="AF7" s="22">
        <v>2218</v>
      </c>
      <c r="AG7" s="22">
        <f t="shared" si="1"/>
        <v>0.51428571428571423</v>
      </c>
    </row>
    <row r="8" spans="1:33" x14ac:dyDescent="0.2">
      <c r="A8" s="29" t="s">
        <v>8</v>
      </c>
      <c r="B8" s="22" t="s">
        <v>55</v>
      </c>
      <c r="C8" s="22">
        <v>83</v>
      </c>
      <c r="D8" s="22">
        <v>0</v>
      </c>
      <c r="E8" s="22">
        <v>117</v>
      </c>
      <c r="F8" s="22">
        <v>2.2200000000000002</v>
      </c>
      <c r="G8" s="22">
        <v>0.79</v>
      </c>
      <c r="H8" s="22">
        <v>1.26</v>
      </c>
      <c r="I8" s="22">
        <v>7</v>
      </c>
      <c r="J8" s="23">
        <f t="shared" si="2"/>
        <v>0.27710843373493976</v>
      </c>
      <c r="K8" s="23">
        <f t="shared" si="3"/>
        <v>6.3012048192771092E-2</v>
      </c>
      <c r="L8" s="23">
        <f t="shared" si="4"/>
        <v>4.3373493975903614E-2</v>
      </c>
      <c r="M8" s="23">
        <f t="shared" si="5"/>
        <v>0.28000000000000003</v>
      </c>
      <c r="N8" s="23">
        <f t="shared" si="6"/>
        <v>2.4096385542168676E-2</v>
      </c>
      <c r="O8" s="22">
        <v>5.23</v>
      </c>
      <c r="P8" s="22">
        <v>3.6</v>
      </c>
      <c r="Q8" s="22">
        <v>4.45</v>
      </c>
      <c r="R8" s="22">
        <v>2</v>
      </c>
      <c r="S8" s="22">
        <v>25</v>
      </c>
      <c r="T8" s="22">
        <v>54.938000000000002</v>
      </c>
      <c r="U8" s="22">
        <v>1.22</v>
      </c>
      <c r="V8" s="22">
        <v>161</v>
      </c>
      <c r="W8" s="22">
        <v>0.52700000000000002</v>
      </c>
      <c r="X8" s="22">
        <f t="shared" si="0"/>
        <v>23</v>
      </c>
      <c r="Y8" s="22">
        <v>1.6</v>
      </c>
      <c r="Z8" s="22">
        <v>2.04</v>
      </c>
      <c r="AA8" s="22">
        <v>1.5</v>
      </c>
      <c r="AB8" s="22">
        <v>0</v>
      </c>
      <c r="AC8" s="22">
        <v>245</v>
      </c>
      <c r="AD8" s="22">
        <v>717.4</v>
      </c>
      <c r="AE8" s="22">
        <v>1509</v>
      </c>
      <c r="AF8" s="22">
        <v>3248</v>
      </c>
      <c r="AG8" s="22">
        <f t="shared" si="1"/>
        <v>0.59285714285714286</v>
      </c>
    </row>
    <row r="9" spans="1:33" x14ac:dyDescent="0.2">
      <c r="A9" s="29" t="s">
        <v>56</v>
      </c>
      <c r="B9" s="22" t="s">
        <v>55</v>
      </c>
      <c r="C9" s="22">
        <v>64.5</v>
      </c>
      <c r="D9" s="22">
        <v>0</v>
      </c>
      <c r="E9" s="22">
        <v>117</v>
      </c>
      <c r="F9" s="22">
        <v>2.2200000000000002</v>
      </c>
      <c r="G9" s="22">
        <v>0.79</v>
      </c>
      <c r="H9" s="22">
        <v>1.26</v>
      </c>
      <c r="I9" s="22">
        <v>7</v>
      </c>
      <c r="J9" s="23">
        <f t="shared" si="2"/>
        <v>0.34108527131782945</v>
      </c>
      <c r="K9" s="23">
        <f t="shared" si="3"/>
        <v>8.1085271317829458E-2</v>
      </c>
      <c r="L9" s="23">
        <f t="shared" si="4"/>
        <v>5.5813953488372092E-2</v>
      </c>
      <c r="M9" s="23">
        <f t="shared" si="5"/>
        <v>0.28000000000000003</v>
      </c>
      <c r="N9" s="23">
        <f t="shared" si="6"/>
        <v>4.6511627906976744E-2</v>
      </c>
      <c r="O9" s="22">
        <v>5.23</v>
      </c>
      <c r="P9" s="22">
        <v>3.6</v>
      </c>
      <c r="Q9" s="22">
        <v>4.45</v>
      </c>
      <c r="R9" s="22">
        <v>3</v>
      </c>
      <c r="S9" s="22">
        <v>25</v>
      </c>
      <c r="T9" s="22">
        <v>54.938000000000002</v>
      </c>
      <c r="U9" s="22">
        <v>1.22</v>
      </c>
      <c r="V9" s="22">
        <v>161</v>
      </c>
      <c r="W9" s="22">
        <v>0.32900000000000001</v>
      </c>
      <c r="X9" s="22">
        <f t="shared" si="0"/>
        <v>22</v>
      </c>
      <c r="Y9" s="22">
        <v>1.6</v>
      </c>
      <c r="Z9" s="22">
        <v>2.04</v>
      </c>
      <c r="AA9" s="22">
        <v>1.5</v>
      </c>
      <c r="AB9" s="22">
        <v>0</v>
      </c>
      <c r="AC9" s="22">
        <v>245</v>
      </c>
      <c r="AD9" s="22">
        <v>717.4</v>
      </c>
      <c r="AE9" s="22">
        <v>1509</v>
      </c>
      <c r="AF9" s="22">
        <v>3248</v>
      </c>
      <c r="AG9" s="22">
        <f t="shared" si="1"/>
        <v>0.46071428571428569</v>
      </c>
    </row>
    <row r="10" spans="1:33" x14ac:dyDescent="0.2">
      <c r="A10" s="29" t="s">
        <v>9</v>
      </c>
      <c r="B10" s="22" t="s">
        <v>55</v>
      </c>
      <c r="C10" s="22">
        <v>74</v>
      </c>
      <c r="D10" s="22">
        <v>0</v>
      </c>
      <c r="E10" s="22">
        <v>125</v>
      </c>
      <c r="F10" s="22">
        <v>1.88</v>
      </c>
      <c r="G10" s="22">
        <v>1.25</v>
      </c>
      <c r="H10" s="22">
        <v>2.21</v>
      </c>
      <c r="I10" s="22">
        <v>12</v>
      </c>
      <c r="J10" s="23">
        <f t="shared" si="2"/>
        <v>0.3783783783783784</v>
      </c>
      <c r="K10" s="23">
        <f t="shared" si="3"/>
        <v>8.067567567567567E-2</v>
      </c>
      <c r="L10" s="23">
        <f t="shared" si="4"/>
        <v>5.878378378378378E-2</v>
      </c>
      <c r="M10" s="23">
        <f t="shared" si="5"/>
        <v>0.4</v>
      </c>
      <c r="N10" s="23">
        <f t="shared" si="6"/>
        <v>2.7027027027027029E-2</v>
      </c>
      <c r="O10" s="22">
        <v>5.97</v>
      </c>
      <c r="P10" s="22">
        <v>4.3499999999999996</v>
      </c>
      <c r="Q10" s="22">
        <v>4.0999999999999996</v>
      </c>
      <c r="R10" s="22">
        <v>2</v>
      </c>
      <c r="S10" s="22">
        <v>30</v>
      </c>
      <c r="T10" s="22">
        <v>65.38</v>
      </c>
      <c r="U10" s="22">
        <v>1.5209999999999999</v>
      </c>
      <c r="V10" s="22">
        <v>142</v>
      </c>
      <c r="W10" s="22">
        <v>0.28799999999999998</v>
      </c>
      <c r="X10" s="22">
        <f t="shared" si="0"/>
        <v>28</v>
      </c>
      <c r="Y10" s="22">
        <v>1.66</v>
      </c>
      <c r="Z10" s="22">
        <v>1.44</v>
      </c>
      <c r="AA10" s="22">
        <v>1.6</v>
      </c>
      <c r="AB10" s="22">
        <v>9</v>
      </c>
      <c r="AC10" s="22">
        <v>239</v>
      </c>
      <c r="AD10" s="22">
        <v>906.4</v>
      </c>
      <c r="AE10" s="22">
        <v>1733</v>
      </c>
      <c r="AF10" s="22">
        <v>3833</v>
      </c>
      <c r="AG10" s="22">
        <f t="shared" si="1"/>
        <v>0.52857142857142858</v>
      </c>
    </row>
    <row r="11" spans="1:33" x14ac:dyDescent="0.2">
      <c r="A11" s="29" t="s">
        <v>10</v>
      </c>
      <c r="B11" s="22" t="s">
        <v>55</v>
      </c>
      <c r="C11" s="22">
        <v>86.8</v>
      </c>
      <c r="D11" s="22">
        <v>0</v>
      </c>
      <c r="E11" s="22">
        <v>170</v>
      </c>
      <c r="F11" s="22">
        <v>3.59</v>
      </c>
      <c r="G11" s="22">
        <v>1</v>
      </c>
      <c r="H11" s="22">
        <v>1.99</v>
      </c>
      <c r="I11" s="22">
        <v>16</v>
      </c>
      <c r="J11" s="23">
        <f t="shared" si="2"/>
        <v>0.77188940092165903</v>
      </c>
      <c r="K11" s="23">
        <f t="shared" si="3"/>
        <v>9.8963133640552994E-2</v>
      </c>
      <c r="L11" s="23">
        <f t="shared" si="4"/>
        <v>3.2834101382488483E-2</v>
      </c>
      <c r="M11" s="23">
        <f t="shared" si="5"/>
        <v>0.22857142857142856</v>
      </c>
      <c r="N11" s="23">
        <f t="shared" si="6"/>
        <v>3.4562211981566823E-2</v>
      </c>
      <c r="O11" s="22">
        <v>8.59</v>
      </c>
      <c r="P11" s="22">
        <v>2.85</v>
      </c>
      <c r="Q11" s="22">
        <v>3.22</v>
      </c>
      <c r="R11" s="22">
        <v>3</v>
      </c>
      <c r="S11" s="22">
        <v>70</v>
      </c>
      <c r="T11" s="22">
        <v>173.04</v>
      </c>
      <c r="U11" s="22">
        <v>4.1280000000000001</v>
      </c>
      <c r="V11" s="22">
        <v>222</v>
      </c>
      <c r="W11" s="22">
        <v>0.68899999999999995</v>
      </c>
      <c r="X11" s="22">
        <f t="shared" si="0"/>
        <v>67</v>
      </c>
      <c r="Y11" s="22">
        <v>1.06</v>
      </c>
      <c r="Z11" s="22">
        <v>1.1000000000000001</v>
      </c>
      <c r="AA11" s="22">
        <v>1.05</v>
      </c>
      <c r="AB11" s="22">
        <v>50</v>
      </c>
      <c r="AC11" s="22">
        <v>274</v>
      </c>
      <c r="AD11" s="22">
        <v>603.4</v>
      </c>
      <c r="AE11" s="22">
        <v>1174</v>
      </c>
      <c r="AF11" s="22">
        <v>2408</v>
      </c>
      <c r="AG11" s="22">
        <f t="shared" si="1"/>
        <v>0.62</v>
      </c>
    </row>
    <row r="12" spans="1:33" x14ac:dyDescent="0.2">
      <c r="A12" s="29" t="s">
        <v>11</v>
      </c>
      <c r="B12" s="22" t="s">
        <v>55</v>
      </c>
      <c r="C12" s="22">
        <v>62</v>
      </c>
      <c r="D12" s="22">
        <v>0</v>
      </c>
      <c r="E12" s="22">
        <v>125</v>
      </c>
      <c r="F12" s="22">
        <v>1.6950000000000001</v>
      </c>
      <c r="G12" s="22">
        <v>1.38</v>
      </c>
      <c r="H12" s="22">
        <v>2</v>
      </c>
      <c r="I12" s="22">
        <v>3</v>
      </c>
      <c r="J12" s="23">
        <f t="shared" si="2"/>
        <v>0.45161290322580644</v>
      </c>
      <c r="K12" s="23">
        <f t="shared" si="3"/>
        <v>0.10032258064516128</v>
      </c>
      <c r="L12" s="23">
        <f t="shared" si="4"/>
        <v>8.0645161290322578E-2</v>
      </c>
      <c r="M12" s="23">
        <f t="shared" si="5"/>
        <v>9.6774193548387094E-2</v>
      </c>
      <c r="N12" s="23">
        <f t="shared" si="6"/>
        <v>4.8387096774193547E-2</v>
      </c>
      <c r="O12" s="22">
        <v>6.22</v>
      </c>
      <c r="P12" s="22">
        <v>5</v>
      </c>
      <c r="Q12" s="22">
        <v>4.0999999999999996</v>
      </c>
      <c r="R12" s="22">
        <v>3</v>
      </c>
      <c r="S12" s="22">
        <v>31</v>
      </c>
      <c r="T12" s="22">
        <v>69.722999999999999</v>
      </c>
      <c r="U12" s="22">
        <v>1.9470000000000001</v>
      </c>
      <c r="V12" s="22">
        <v>136</v>
      </c>
      <c r="W12" s="22">
        <v>0.19800000000000001</v>
      </c>
      <c r="X12" s="22">
        <f t="shared" si="0"/>
        <v>28</v>
      </c>
      <c r="Y12" s="22">
        <v>1.82</v>
      </c>
      <c r="Z12" s="22">
        <v>1.7</v>
      </c>
      <c r="AA12" s="22">
        <v>1.6</v>
      </c>
      <c r="AB12" s="22">
        <v>30</v>
      </c>
      <c r="AC12" s="22">
        <v>232</v>
      </c>
      <c r="AD12" s="22">
        <v>578.79999999999995</v>
      </c>
      <c r="AE12" s="22">
        <v>1979</v>
      </c>
      <c r="AF12" s="22">
        <v>2963</v>
      </c>
      <c r="AG12" s="22">
        <f t="shared" si="1"/>
        <v>0.44285714285714284</v>
      </c>
    </row>
    <row r="13" spans="1:33" x14ac:dyDescent="0.2">
      <c r="A13" s="29" t="s">
        <v>12</v>
      </c>
      <c r="B13" s="22" t="s">
        <v>55</v>
      </c>
      <c r="C13" s="22">
        <v>80</v>
      </c>
      <c r="D13" s="22">
        <v>0</v>
      </c>
      <c r="E13" s="22">
        <v>150</v>
      </c>
      <c r="F13" s="22">
        <v>2.0499999999999998</v>
      </c>
      <c r="G13" s="22">
        <v>1.49</v>
      </c>
      <c r="H13" s="22">
        <v>2.2999999999999998</v>
      </c>
      <c r="I13" s="22">
        <v>3</v>
      </c>
      <c r="J13" s="23">
        <f t="shared" si="2"/>
        <v>0.57499999999999996</v>
      </c>
      <c r="K13" s="23">
        <f t="shared" si="3"/>
        <v>0.10587500000000001</v>
      </c>
      <c r="L13" s="23">
        <f t="shared" si="4"/>
        <v>6.25E-2</v>
      </c>
      <c r="M13" s="23">
        <f t="shared" si="5"/>
        <v>6.1224489795918366E-2</v>
      </c>
      <c r="N13" s="23">
        <f t="shared" si="6"/>
        <v>3.7499999999999999E-2</v>
      </c>
      <c r="O13" s="22">
        <v>8.4700000000000006</v>
      </c>
      <c r="P13" s="22">
        <v>5</v>
      </c>
      <c r="Q13" s="22">
        <v>3.9</v>
      </c>
      <c r="R13" s="22">
        <v>3</v>
      </c>
      <c r="S13" s="22">
        <v>49</v>
      </c>
      <c r="T13" s="22">
        <v>114.818</v>
      </c>
      <c r="U13" s="22">
        <v>2.617</v>
      </c>
      <c r="V13" s="22">
        <v>156</v>
      </c>
      <c r="W13" s="22">
        <v>0.73</v>
      </c>
      <c r="X13" s="22">
        <f t="shared" si="0"/>
        <v>46</v>
      </c>
      <c r="Y13" s="22">
        <v>1.49</v>
      </c>
      <c r="Z13" s="22">
        <v>1.63</v>
      </c>
      <c r="AA13" s="22">
        <v>1.7</v>
      </c>
      <c r="AB13" s="22">
        <v>30</v>
      </c>
      <c r="AC13" s="22">
        <v>243</v>
      </c>
      <c r="AD13" s="22">
        <v>558.29999999999995</v>
      </c>
      <c r="AE13" s="22">
        <v>1821</v>
      </c>
      <c r="AF13" s="22">
        <v>2705</v>
      </c>
      <c r="AG13" s="22">
        <f t="shared" si="1"/>
        <v>0.5714285714285714</v>
      </c>
    </row>
    <row r="14" spans="1:33" x14ac:dyDescent="0.2">
      <c r="A14" s="29" t="s">
        <v>13</v>
      </c>
      <c r="B14" s="22" t="s">
        <v>55</v>
      </c>
      <c r="C14" s="22">
        <v>64</v>
      </c>
      <c r="D14" s="22">
        <v>0</v>
      </c>
      <c r="E14" s="22">
        <v>134</v>
      </c>
      <c r="F14" s="22">
        <v>2.76</v>
      </c>
      <c r="G14" s="22">
        <v>0.95</v>
      </c>
      <c r="H14" s="22">
        <v>1.75</v>
      </c>
      <c r="I14" s="22">
        <v>5</v>
      </c>
      <c r="J14" s="23">
        <f t="shared" si="2"/>
        <v>0.5625</v>
      </c>
      <c r="K14" s="23">
        <f t="shared" si="3"/>
        <v>0.1046875</v>
      </c>
      <c r="L14" s="23">
        <f t="shared" si="4"/>
        <v>5.1562499999999997E-2</v>
      </c>
      <c r="M14" s="23">
        <f t="shared" si="5"/>
        <v>0.12195121951219512</v>
      </c>
      <c r="N14" s="23">
        <f t="shared" si="6"/>
        <v>7.8125E-2</v>
      </c>
      <c r="O14" s="22">
        <v>6.7</v>
      </c>
      <c r="P14" s="22">
        <v>3.3</v>
      </c>
      <c r="Q14" s="22">
        <v>4.05</v>
      </c>
      <c r="R14" s="22">
        <v>5</v>
      </c>
      <c r="S14" s="22">
        <v>41</v>
      </c>
      <c r="T14" s="22">
        <v>92.906000000000006</v>
      </c>
      <c r="U14" s="22">
        <v>1.8069999999999999</v>
      </c>
      <c r="V14" s="22">
        <v>198</v>
      </c>
      <c r="W14" s="22">
        <v>0.26100000000000001</v>
      </c>
      <c r="X14" s="22">
        <f t="shared" si="0"/>
        <v>36</v>
      </c>
      <c r="Y14" s="22">
        <v>1.23</v>
      </c>
      <c r="Z14" s="22">
        <v>2.0299999999999998</v>
      </c>
      <c r="AA14" s="22">
        <v>1.6</v>
      </c>
      <c r="AB14" s="22">
        <v>86.2</v>
      </c>
      <c r="AC14" s="22">
        <v>256</v>
      </c>
      <c r="AD14" s="22">
        <v>663.8</v>
      </c>
      <c r="AE14" s="22">
        <v>1382</v>
      </c>
      <c r="AF14" s="22">
        <v>2416</v>
      </c>
      <c r="AG14" s="22">
        <f t="shared" si="1"/>
        <v>0.45714285714285713</v>
      </c>
    </row>
    <row r="15" spans="1:33" x14ac:dyDescent="0.2">
      <c r="A15" s="29" t="s">
        <v>14</v>
      </c>
      <c r="B15" s="22" t="s">
        <v>55</v>
      </c>
      <c r="C15" s="22">
        <v>118</v>
      </c>
      <c r="D15" s="22">
        <v>0</v>
      </c>
      <c r="E15" s="22">
        <v>140</v>
      </c>
      <c r="F15" s="22">
        <v>1.88</v>
      </c>
      <c r="G15" s="22">
        <v>1.41</v>
      </c>
      <c r="H15" s="22">
        <v>2.2999999999999998</v>
      </c>
      <c r="I15" s="22">
        <v>4</v>
      </c>
      <c r="J15" s="23">
        <f t="shared" si="2"/>
        <v>0.40677966101694918</v>
      </c>
      <c r="K15" s="23">
        <f t="shared" si="3"/>
        <v>7.7118644067796602E-2</v>
      </c>
      <c r="L15" s="23">
        <f t="shared" si="4"/>
        <v>4.7881355932203391E-2</v>
      </c>
      <c r="M15" s="23">
        <f t="shared" si="5"/>
        <v>0.08</v>
      </c>
      <c r="N15" s="23">
        <f t="shared" si="6"/>
        <v>1.6949152542372881E-2</v>
      </c>
      <c r="O15" s="22">
        <v>9.1</v>
      </c>
      <c r="P15" s="22">
        <v>5.65</v>
      </c>
      <c r="Q15" s="22">
        <v>4.1500000000000004</v>
      </c>
      <c r="R15" s="22">
        <v>2</v>
      </c>
      <c r="S15" s="22">
        <v>50</v>
      </c>
      <c r="T15" s="22">
        <v>118.71</v>
      </c>
      <c r="U15" s="22">
        <v>2.7050000000000001</v>
      </c>
      <c r="V15" s="22">
        <v>145</v>
      </c>
      <c r="W15" s="22">
        <v>0.499</v>
      </c>
      <c r="X15" s="22">
        <f t="shared" si="0"/>
        <v>48</v>
      </c>
      <c r="Y15" s="22">
        <v>1.72</v>
      </c>
      <c r="Z15" s="22">
        <v>1.88</v>
      </c>
      <c r="AA15" s="22">
        <v>1.8</v>
      </c>
      <c r="AB15" s="22">
        <v>116</v>
      </c>
      <c r="AC15" s="22">
        <v>242</v>
      </c>
      <c r="AD15" s="22">
        <v>708.6</v>
      </c>
      <c r="AE15" s="22">
        <v>1412</v>
      </c>
      <c r="AF15" s="22">
        <v>2943</v>
      </c>
      <c r="AG15" s="22">
        <f t="shared" si="1"/>
        <v>0.84285714285714286</v>
      </c>
    </row>
    <row r="16" spans="1:33" x14ac:dyDescent="0.2">
      <c r="A16" s="29" t="s">
        <v>15</v>
      </c>
      <c r="B16" s="22" t="s">
        <v>55</v>
      </c>
      <c r="C16" s="22">
        <v>95</v>
      </c>
      <c r="D16" s="22">
        <v>0</v>
      </c>
      <c r="E16" s="22">
        <v>141</v>
      </c>
      <c r="F16" s="22">
        <v>2.2149999999999999</v>
      </c>
      <c r="G16" s="22">
        <v>1.39</v>
      </c>
      <c r="H16" s="22">
        <v>2.4</v>
      </c>
      <c r="I16" s="22">
        <v>12</v>
      </c>
      <c r="J16" s="23">
        <f t="shared" si="2"/>
        <v>0.48421052631578948</v>
      </c>
      <c r="K16" s="23">
        <f t="shared" si="3"/>
        <v>8.6210526315789474E-2</v>
      </c>
      <c r="L16" s="23">
        <f t="shared" si="4"/>
        <v>4.5789473684210526E-2</v>
      </c>
      <c r="M16" s="23">
        <f t="shared" si="5"/>
        <v>0.25</v>
      </c>
      <c r="N16" s="23">
        <f t="shared" si="6"/>
        <v>2.1052631578947368E-2</v>
      </c>
      <c r="O16" s="22">
        <v>8.19</v>
      </c>
      <c r="P16" s="22">
        <v>4.3499999999999996</v>
      </c>
      <c r="Q16" s="22">
        <v>4.05</v>
      </c>
      <c r="R16" s="22">
        <v>2</v>
      </c>
      <c r="S16" s="22">
        <v>48</v>
      </c>
      <c r="T16" s="22">
        <v>112.414</v>
      </c>
      <c r="U16" s="22">
        <v>2.1440000000000001</v>
      </c>
      <c r="V16" s="22">
        <v>161</v>
      </c>
      <c r="W16" s="22">
        <v>1.0900000000000001</v>
      </c>
      <c r="X16" s="22">
        <f t="shared" si="0"/>
        <v>46</v>
      </c>
      <c r="Y16" s="22">
        <v>1.46</v>
      </c>
      <c r="Z16" s="22">
        <v>1.4</v>
      </c>
      <c r="AA16" s="22">
        <v>1.7</v>
      </c>
      <c r="AB16" s="22">
        <v>-26</v>
      </c>
      <c r="AC16" s="22">
        <v>249</v>
      </c>
      <c r="AD16" s="22">
        <v>867.7</v>
      </c>
      <c r="AE16" s="22">
        <v>1631</v>
      </c>
      <c r="AF16" s="22">
        <v>3616</v>
      </c>
      <c r="AG16" s="22">
        <f t="shared" si="1"/>
        <v>0.6785714285714286</v>
      </c>
    </row>
    <row r="17" spans="1:33" x14ac:dyDescent="0.2">
      <c r="A17" s="29" t="s">
        <v>19</v>
      </c>
      <c r="B17" s="22" t="s">
        <v>55</v>
      </c>
      <c r="C17" s="22">
        <v>76</v>
      </c>
      <c r="D17" s="22">
        <v>0</v>
      </c>
      <c r="E17" s="22">
        <v>141</v>
      </c>
      <c r="F17" s="22">
        <v>1.7649999999999999</v>
      </c>
      <c r="G17" s="22">
        <v>1.32</v>
      </c>
      <c r="H17" s="22">
        <v>2.15</v>
      </c>
      <c r="I17" s="22">
        <v>5</v>
      </c>
      <c r="J17" s="23">
        <f t="shared" si="2"/>
        <v>0.63157894736842102</v>
      </c>
      <c r="K17" s="23">
        <f t="shared" si="3"/>
        <v>0.13144736842105265</v>
      </c>
      <c r="L17" s="23">
        <f t="shared" si="4"/>
        <v>8.2894736842105257E-2</v>
      </c>
      <c r="M17" s="23">
        <f t="shared" si="5"/>
        <v>9.8039215686274508E-2</v>
      </c>
      <c r="N17" s="23">
        <f t="shared" si="6"/>
        <v>3.9473684210526314E-2</v>
      </c>
      <c r="O17" s="22">
        <v>9.99</v>
      </c>
      <c r="P17" s="22">
        <v>6.3</v>
      </c>
      <c r="Q17" s="22">
        <v>4.4000000000000004</v>
      </c>
      <c r="R17" s="22">
        <v>3</v>
      </c>
      <c r="S17" s="22">
        <v>51</v>
      </c>
      <c r="T17" s="22">
        <v>121.76</v>
      </c>
      <c r="U17" s="22">
        <v>2.9969999999999999</v>
      </c>
      <c r="V17" s="22">
        <v>133</v>
      </c>
      <c r="W17" s="22">
        <v>0.92700000000000005</v>
      </c>
      <c r="X17" s="22">
        <f t="shared" si="0"/>
        <v>48</v>
      </c>
      <c r="Y17" s="22">
        <v>1.82</v>
      </c>
      <c r="Z17" s="22">
        <v>2.14</v>
      </c>
      <c r="AA17" s="22">
        <v>1.9</v>
      </c>
      <c r="AB17" s="22">
        <v>101</v>
      </c>
      <c r="AC17" s="22">
        <v>247</v>
      </c>
      <c r="AD17" s="22">
        <v>833.7</v>
      </c>
      <c r="AE17" s="22">
        <v>1595</v>
      </c>
      <c r="AF17" s="22">
        <v>2441</v>
      </c>
      <c r="AG17" s="22">
        <f t="shared" si="1"/>
        <v>0.54285714285714282</v>
      </c>
    </row>
    <row r="18" spans="1:33" x14ac:dyDescent="0.2">
      <c r="A18" s="29" t="s">
        <v>16</v>
      </c>
      <c r="B18" s="22" t="s">
        <v>55</v>
      </c>
      <c r="C18" s="22">
        <v>60</v>
      </c>
      <c r="D18" s="22">
        <v>0</v>
      </c>
      <c r="E18" s="22">
        <v>141</v>
      </c>
      <c r="F18" s="22">
        <v>1.7649999999999999</v>
      </c>
      <c r="G18" s="22">
        <v>1.32</v>
      </c>
      <c r="H18" s="22">
        <v>2.15</v>
      </c>
      <c r="I18" s="22">
        <v>5</v>
      </c>
      <c r="J18" s="23">
        <f t="shared" si="2"/>
        <v>0.76666666666666672</v>
      </c>
      <c r="K18" s="23">
        <f t="shared" si="3"/>
        <v>0.16650000000000001</v>
      </c>
      <c r="L18" s="23">
        <f t="shared" si="4"/>
        <v>0.105</v>
      </c>
      <c r="M18" s="23">
        <f t="shared" si="5"/>
        <v>9.8039215686274508E-2</v>
      </c>
      <c r="N18" s="23">
        <f t="shared" si="6"/>
        <v>8.3333333333333329E-2</v>
      </c>
      <c r="O18" s="22">
        <v>9.99</v>
      </c>
      <c r="P18" s="22">
        <v>6.3</v>
      </c>
      <c r="Q18" s="22">
        <v>4.4000000000000004</v>
      </c>
      <c r="R18" s="22">
        <v>5</v>
      </c>
      <c r="S18" s="22">
        <v>51</v>
      </c>
      <c r="T18" s="22">
        <v>121.76</v>
      </c>
      <c r="U18" s="22">
        <v>2.9969999999999999</v>
      </c>
      <c r="V18" s="22">
        <v>133</v>
      </c>
      <c r="W18" s="22">
        <v>0.36</v>
      </c>
      <c r="X18" s="22">
        <f t="shared" si="0"/>
        <v>46</v>
      </c>
      <c r="Y18" s="22">
        <v>1.82</v>
      </c>
      <c r="Z18" s="22">
        <v>2.14</v>
      </c>
      <c r="AA18" s="22">
        <v>1.9</v>
      </c>
      <c r="AB18" s="22">
        <v>101</v>
      </c>
      <c r="AC18" s="22">
        <v>247</v>
      </c>
      <c r="AD18" s="22">
        <v>833.7</v>
      </c>
      <c r="AE18" s="22">
        <v>1595</v>
      </c>
      <c r="AF18" s="22">
        <v>2441</v>
      </c>
      <c r="AG18" s="22">
        <f t="shared" si="1"/>
        <v>0.42857142857142855</v>
      </c>
    </row>
    <row r="19" spans="1:33" x14ac:dyDescent="0.2">
      <c r="A19" s="29" t="s">
        <v>17</v>
      </c>
      <c r="B19" s="22" t="s">
        <v>55</v>
      </c>
      <c r="C19" s="22">
        <v>72</v>
      </c>
      <c r="D19" s="22">
        <v>0</v>
      </c>
      <c r="E19" s="22">
        <v>136</v>
      </c>
      <c r="F19" s="22">
        <v>2.0299999999999998</v>
      </c>
      <c r="G19" s="22">
        <v>1.0900000000000001</v>
      </c>
      <c r="H19" s="22">
        <v>2.2999999999999998</v>
      </c>
      <c r="I19" s="22">
        <v>2</v>
      </c>
      <c r="J19" s="23">
        <f t="shared" si="2"/>
        <v>0.1388888888888889</v>
      </c>
      <c r="K19" s="23">
        <f t="shared" si="3"/>
        <v>4.597222222222222E-2</v>
      </c>
      <c r="L19" s="23">
        <f t="shared" si="4"/>
        <v>3.9583333333333331E-2</v>
      </c>
      <c r="M19" s="23">
        <f t="shared" si="5"/>
        <v>0.16666666666666666</v>
      </c>
      <c r="N19" s="23">
        <f t="shared" si="6"/>
        <v>2.7777777777777776E-2</v>
      </c>
      <c r="O19" s="22">
        <v>3.31</v>
      </c>
      <c r="P19" s="22">
        <v>2.85</v>
      </c>
      <c r="Q19" s="22">
        <v>3.45</v>
      </c>
      <c r="R19" s="22">
        <v>2</v>
      </c>
      <c r="S19" s="22">
        <v>12</v>
      </c>
      <c r="T19" s="22">
        <v>24.305</v>
      </c>
      <c r="U19" s="22">
        <v>2.3239999999999998</v>
      </c>
      <c r="V19" s="22">
        <v>145</v>
      </c>
      <c r="W19" s="22">
        <v>9.4E-2</v>
      </c>
      <c r="X19" s="22">
        <f t="shared" si="0"/>
        <v>10</v>
      </c>
      <c r="Y19" s="22">
        <v>1.23</v>
      </c>
      <c r="Z19" s="22">
        <v>1.31</v>
      </c>
      <c r="AA19" s="22">
        <v>1.2</v>
      </c>
      <c r="AB19" s="22">
        <v>-21</v>
      </c>
      <c r="AC19" s="22">
        <v>251</v>
      </c>
      <c r="AD19" s="22">
        <v>737.7</v>
      </c>
      <c r="AE19" s="22">
        <v>1451</v>
      </c>
      <c r="AF19" s="22">
        <v>7733</v>
      </c>
      <c r="AG19" s="22">
        <f t="shared" si="1"/>
        <v>0.51428571428571423</v>
      </c>
    </row>
    <row r="20" spans="1:33" x14ac:dyDescent="0.2">
      <c r="A20" s="28" t="s">
        <v>18</v>
      </c>
      <c r="B20" s="26" t="s">
        <v>54</v>
      </c>
      <c r="C20" s="26">
        <v>76</v>
      </c>
      <c r="D20" s="26">
        <v>115.93</v>
      </c>
      <c r="E20" s="26">
        <v>123</v>
      </c>
      <c r="F20" s="22">
        <v>1.61</v>
      </c>
      <c r="G20" s="22">
        <v>1.75</v>
      </c>
      <c r="H20" s="22">
        <v>3.06</v>
      </c>
      <c r="I20" s="22">
        <v>1</v>
      </c>
      <c r="J20" s="23">
        <f>X20/D20</f>
        <v>1.7251789873199343E-2</v>
      </c>
      <c r="K20" s="23">
        <f>O20/D20</f>
        <v>1.104114551884758E-2</v>
      </c>
      <c r="L20" s="23">
        <f>P20/D20</f>
        <v>1.1213663417579574E-2</v>
      </c>
      <c r="M20" s="23">
        <f t="shared" si="5"/>
        <v>0.33333333333333331</v>
      </c>
      <c r="N20" s="23">
        <f>R20/D20</f>
        <v>8.6258949365996714E-3</v>
      </c>
      <c r="O20" s="22">
        <v>1.28</v>
      </c>
      <c r="P20" s="22">
        <v>1.3</v>
      </c>
      <c r="Q20" s="22">
        <v>2.85</v>
      </c>
      <c r="R20" s="22">
        <v>1</v>
      </c>
      <c r="S20" s="22">
        <v>3</v>
      </c>
      <c r="T20" s="22">
        <v>6.94</v>
      </c>
      <c r="U20" s="22">
        <v>2.1619999999999999</v>
      </c>
      <c r="V20" s="26">
        <v>167</v>
      </c>
      <c r="W20" s="26">
        <v>2.9000000000000001E-2</v>
      </c>
      <c r="X20" s="22">
        <f t="shared" si="0"/>
        <v>2</v>
      </c>
      <c r="Y20" s="22">
        <v>0.97</v>
      </c>
      <c r="Z20" s="22">
        <v>0.9</v>
      </c>
      <c r="AA20" s="22">
        <v>1</v>
      </c>
      <c r="AB20" s="22">
        <v>59.6</v>
      </c>
      <c r="AC20" s="22">
        <v>212</v>
      </c>
      <c r="AD20" s="22">
        <v>520.20000000000005</v>
      </c>
      <c r="AE20" s="22">
        <v>7298</v>
      </c>
      <c r="AF20" s="22">
        <v>11815</v>
      </c>
      <c r="AG20" s="22">
        <f t="shared" si="1"/>
        <v>0.54285714285714282</v>
      </c>
    </row>
    <row r="21" spans="1:33" x14ac:dyDescent="0.2">
      <c r="A21" s="29" t="s">
        <v>57</v>
      </c>
      <c r="B21" s="26" t="s">
        <v>55</v>
      </c>
      <c r="C21" s="22">
        <v>60</v>
      </c>
      <c r="D21" s="22">
        <v>0</v>
      </c>
      <c r="E21" s="22">
        <v>130</v>
      </c>
      <c r="F21" s="22">
        <v>2.7349999999999999</v>
      </c>
      <c r="G21" s="22">
        <v>0.92</v>
      </c>
      <c r="H21" s="22">
        <v>1.5</v>
      </c>
      <c r="I21" s="22">
        <v>6</v>
      </c>
      <c r="J21" s="23">
        <f t="shared" ref="J21:J26" si="7">X21/C21</f>
        <v>1.1333333333333333</v>
      </c>
      <c r="K21" s="23">
        <f t="shared" ref="K21:K26" si="8">O21/C21</f>
        <v>0.16416666666666666</v>
      </c>
      <c r="L21" s="23">
        <f t="shared" ref="L21:L26" si="9">P21/C21</f>
        <v>7.2499999999999995E-2</v>
      </c>
      <c r="M21" s="23">
        <f t="shared" si="5"/>
        <v>8.1081081081081086E-2</v>
      </c>
      <c r="N21" s="23">
        <f t="shared" ref="N21:N26" si="10">R21/C21</f>
        <v>0.1</v>
      </c>
      <c r="O21" s="22">
        <v>9.85</v>
      </c>
      <c r="P21" s="22">
        <v>4.3499999999999996</v>
      </c>
      <c r="Q21" s="22">
        <v>4.8</v>
      </c>
      <c r="R21" s="22">
        <v>6</v>
      </c>
      <c r="S21" s="22">
        <v>74</v>
      </c>
      <c r="T21" s="22">
        <v>183.85</v>
      </c>
      <c r="U21" s="22">
        <v>1.5860000000000001</v>
      </c>
      <c r="V21" s="22">
        <v>135</v>
      </c>
      <c r="W21" s="22">
        <v>0.18099999999999999</v>
      </c>
      <c r="X21" s="22">
        <f t="shared" si="0"/>
        <v>68</v>
      </c>
      <c r="Y21" s="22">
        <v>1.4</v>
      </c>
      <c r="Z21" s="22">
        <v>1.79</v>
      </c>
      <c r="AA21" s="22">
        <v>1.7</v>
      </c>
      <c r="AB21" s="22">
        <v>78.599999999999994</v>
      </c>
      <c r="AC21" s="22">
        <v>249</v>
      </c>
      <c r="AD21" s="22">
        <v>770</v>
      </c>
      <c r="AE21" s="22">
        <v>1708</v>
      </c>
      <c r="AF21" s="22">
        <v>2316</v>
      </c>
      <c r="AG21" s="22">
        <f t="shared" si="1"/>
        <v>0.42857142857142855</v>
      </c>
    </row>
    <row r="22" spans="1:33" x14ac:dyDescent="0.2">
      <c r="A22" s="29" t="s">
        <v>58</v>
      </c>
      <c r="B22" s="26" t="s">
        <v>54</v>
      </c>
      <c r="C22" s="22">
        <v>101</v>
      </c>
      <c r="D22" s="22">
        <v>114</v>
      </c>
      <c r="E22" s="22">
        <v>165</v>
      </c>
      <c r="F22" s="22">
        <v>4.5</v>
      </c>
      <c r="G22" s="22">
        <v>1.23</v>
      </c>
      <c r="H22" s="22">
        <v>2.4</v>
      </c>
      <c r="I22" s="22">
        <v>4</v>
      </c>
      <c r="J22" s="23">
        <f t="shared" si="7"/>
        <v>0.53465346534653468</v>
      </c>
      <c r="K22" s="23">
        <f t="shared" si="8"/>
        <v>0.10693069306930694</v>
      </c>
      <c r="L22" s="23">
        <f t="shared" si="9"/>
        <v>2.8217821782178219E-2</v>
      </c>
      <c r="M22" s="23">
        <f t="shared" si="5"/>
        <v>6.8965517241379309E-2</v>
      </c>
      <c r="N22" s="23">
        <f t="shared" si="10"/>
        <v>3.9603960396039604E-2</v>
      </c>
      <c r="O22" s="22">
        <v>10.8</v>
      </c>
      <c r="P22" s="22">
        <v>2.85</v>
      </c>
      <c r="Q22" s="22">
        <v>3.18</v>
      </c>
      <c r="R22" s="22">
        <v>4</v>
      </c>
      <c r="S22" s="22">
        <v>58</v>
      </c>
      <c r="T22" s="22">
        <v>140.11500000000001</v>
      </c>
      <c r="U22" s="22">
        <v>3.4780000000000002</v>
      </c>
      <c r="V22" s="22">
        <v>185</v>
      </c>
      <c r="W22" s="22">
        <v>0.73599999999999999</v>
      </c>
      <c r="X22" s="22">
        <f t="shared" si="0"/>
        <v>54</v>
      </c>
      <c r="Y22" s="22">
        <v>1.06</v>
      </c>
      <c r="Z22" s="22">
        <v>1.1000000000000001</v>
      </c>
      <c r="AA22" s="22">
        <v>1.05</v>
      </c>
      <c r="AB22" s="22">
        <v>50</v>
      </c>
      <c r="AC22" s="22">
        <v>288</v>
      </c>
      <c r="AD22" s="22">
        <v>527.79999999999995</v>
      </c>
      <c r="AE22" s="22">
        <v>1047</v>
      </c>
      <c r="AF22" s="22">
        <v>1940</v>
      </c>
      <c r="AG22" s="22">
        <f t="shared" si="1"/>
        <v>0.72142857142857142</v>
      </c>
    </row>
    <row r="23" spans="1:33" x14ac:dyDescent="0.2">
      <c r="A23" s="29" t="s">
        <v>59</v>
      </c>
      <c r="B23" s="26" t="s">
        <v>55</v>
      </c>
      <c r="C23" s="22">
        <v>64</v>
      </c>
      <c r="D23" s="22">
        <v>0</v>
      </c>
      <c r="E23" s="22">
        <v>134</v>
      </c>
      <c r="F23" s="22">
        <v>2.79</v>
      </c>
      <c r="G23" s="22">
        <v>0.95</v>
      </c>
      <c r="H23" s="22">
        <v>1.7</v>
      </c>
      <c r="I23" s="22">
        <v>5</v>
      </c>
      <c r="J23" s="23">
        <f t="shared" si="7"/>
        <v>1.0625</v>
      </c>
      <c r="K23" s="23">
        <f t="shared" si="8"/>
        <v>0.14890624999999999</v>
      </c>
      <c r="L23" s="23">
        <f t="shared" si="9"/>
        <v>5.1562499999999997E-2</v>
      </c>
      <c r="M23" s="23">
        <f t="shared" si="5"/>
        <v>6.8493150684931503E-2</v>
      </c>
      <c r="N23" s="23">
        <f t="shared" si="10"/>
        <v>7.8125E-2</v>
      </c>
      <c r="O23" s="22">
        <v>9.5299999999999994</v>
      </c>
      <c r="P23" s="22">
        <v>3.3</v>
      </c>
      <c r="Q23" s="22">
        <v>4.05</v>
      </c>
      <c r="R23" s="22">
        <v>5</v>
      </c>
      <c r="S23" s="22">
        <v>73</v>
      </c>
      <c r="T23" s="22">
        <v>180.94800000000001</v>
      </c>
      <c r="U23" s="22">
        <v>1.8009999999999999</v>
      </c>
      <c r="V23" s="22">
        <v>145</v>
      </c>
      <c r="W23" s="22">
        <v>0.97099999999999997</v>
      </c>
      <c r="X23" s="22">
        <f t="shared" si="0"/>
        <v>68</v>
      </c>
      <c r="Y23" s="22">
        <v>1.33</v>
      </c>
      <c r="Z23" s="22">
        <v>1.94</v>
      </c>
      <c r="AA23" s="22">
        <v>1.5</v>
      </c>
      <c r="AB23" s="22">
        <v>14</v>
      </c>
      <c r="AC23" s="22">
        <v>257</v>
      </c>
      <c r="AD23" s="22">
        <v>761.3</v>
      </c>
      <c r="AE23" s="22">
        <v>1563</v>
      </c>
      <c r="AF23" s="22">
        <v>2123</v>
      </c>
      <c r="AG23" s="22">
        <f t="shared" si="1"/>
        <v>0.45714285714285713</v>
      </c>
    </row>
    <row r="24" spans="1:33" x14ac:dyDescent="0.2">
      <c r="A24" s="29" t="s">
        <v>60</v>
      </c>
      <c r="B24" s="26" t="s">
        <v>55</v>
      </c>
      <c r="C24" s="22">
        <v>103.2</v>
      </c>
      <c r="D24" s="22">
        <v>0</v>
      </c>
      <c r="E24" s="22">
        <v>169</v>
      </c>
      <c r="F24" s="22">
        <v>3.08</v>
      </c>
      <c r="G24" s="22">
        <v>1.34</v>
      </c>
      <c r="H24" s="22">
        <v>2.42</v>
      </c>
      <c r="I24" s="22">
        <v>3</v>
      </c>
      <c r="J24" s="23">
        <f t="shared" si="7"/>
        <v>0.5232558139534883</v>
      </c>
      <c r="K24" s="23">
        <f t="shared" si="8"/>
        <v>9.0213178294573648E-2</v>
      </c>
      <c r="L24" s="23">
        <f t="shared" si="9"/>
        <v>2.7616279069767442E-2</v>
      </c>
      <c r="M24" s="23">
        <f t="shared" si="5"/>
        <v>5.2631578947368418E-2</v>
      </c>
      <c r="N24" s="23">
        <f t="shared" si="10"/>
        <v>2.9069767441860465E-2</v>
      </c>
      <c r="O24" s="22">
        <v>9.31</v>
      </c>
      <c r="P24" s="22">
        <v>2.85</v>
      </c>
      <c r="Q24" s="22">
        <v>3.17</v>
      </c>
      <c r="R24" s="22">
        <v>3</v>
      </c>
      <c r="S24" s="22">
        <v>57</v>
      </c>
      <c r="T24" s="22">
        <v>138.90600000000001</v>
      </c>
      <c r="U24" s="27">
        <v>3741</v>
      </c>
      <c r="V24" s="22">
        <v>195</v>
      </c>
      <c r="W24" s="22">
        <v>1.04</v>
      </c>
      <c r="X24" s="22">
        <f t="shared" si="0"/>
        <v>54</v>
      </c>
      <c r="Y24" s="22">
        <v>1.08</v>
      </c>
      <c r="Z24" s="22">
        <v>1.35</v>
      </c>
      <c r="AA24" s="22">
        <v>1</v>
      </c>
      <c r="AB24" s="22">
        <v>50</v>
      </c>
      <c r="AC24" s="22">
        <v>298</v>
      </c>
      <c r="AD24" s="22">
        <v>538.1</v>
      </c>
      <c r="AE24" s="22">
        <v>1067</v>
      </c>
      <c r="AF24" s="22">
        <v>1851</v>
      </c>
      <c r="AG24" s="22">
        <f t="shared" si="1"/>
        <v>0.73714285714285721</v>
      </c>
    </row>
    <row r="25" spans="1:33" x14ac:dyDescent="0.2">
      <c r="A25" s="29" t="s">
        <v>61</v>
      </c>
      <c r="B25" s="26" t="s">
        <v>55</v>
      </c>
      <c r="C25" s="22">
        <v>61.5</v>
      </c>
      <c r="D25" s="22">
        <v>0</v>
      </c>
      <c r="E25" s="22">
        <v>118</v>
      </c>
      <c r="F25" s="22">
        <v>2.44</v>
      </c>
      <c r="G25" s="22">
        <v>0.84</v>
      </c>
      <c r="H25" s="22">
        <v>1.33</v>
      </c>
      <c r="I25" s="22">
        <v>6</v>
      </c>
      <c r="J25" s="23">
        <f t="shared" si="7"/>
        <v>0.34146341463414637</v>
      </c>
      <c r="K25" s="23">
        <f t="shared" si="8"/>
        <v>8.3414634146341468E-2</v>
      </c>
      <c r="L25" s="23">
        <f t="shared" si="9"/>
        <v>5.4471544715447157E-2</v>
      </c>
      <c r="M25" s="23">
        <f t="shared" si="5"/>
        <v>0.25</v>
      </c>
      <c r="N25" s="23">
        <f t="shared" si="10"/>
        <v>4.878048780487805E-2</v>
      </c>
      <c r="O25" s="22">
        <v>5.13</v>
      </c>
      <c r="P25" s="22">
        <v>3.35</v>
      </c>
      <c r="Q25" s="22">
        <v>4.6500000000000004</v>
      </c>
      <c r="R25" s="22">
        <v>3</v>
      </c>
      <c r="S25" s="22">
        <v>24</v>
      </c>
      <c r="T25" s="22">
        <v>51.996000000000002</v>
      </c>
      <c r="U25" s="22">
        <v>1.2</v>
      </c>
      <c r="V25" s="22">
        <v>140</v>
      </c>
      <c r="W25" s="22">
        <v>0.38300000000000001</v>
      </c>
      <c r="X25" s="22">
        <f t="shared" si="0"/>
        <v>21</v>
      </c>
      <c r="Y25" s="22">
        <v>1.56</v>
      </c>
      <c r="Z25" s="22">
        <v>2</v>
      </c>
      <c r="AA25" s="22">
        <v>1.6</v>
      </c>
      <c r="AB25" s="22">
        <v>64.3</v>
      </c>
      <c r="AC25" s="22">
        <v>245</v>
      </c>
      <c r="AD25" s="22">
        <v>652.79999999999995</v>
      </c>
      <c r="AE25" s="22">
        <v>1592</v>
      </c>
      <c r="AF25" s="22">
        <v>2987</v>
      </c>
      <c r="AG25" s="22">
        <f t="shared" si="1"/>
        <v>0.43928571428571428</v>
      </c>
    </row>
    <row r="26" spans="1:33" x14ac:dyDescent="0.2">
      <c r="A26" s="29" t="s">
        <v>62</v>
      </c>
      <c r="B26" s="26" t="s">
        <v>55</v>
      </c>
      <c r="C26" s="22">
        <v>73</v>
      </c>
      <c r="D26" s="22">
        <v>0</v>
      </c>
      <c r="E26" s="22">
        <v>117</v>
      </c>
      <c r="F26" s="22">
        <v>2.04</v>
      </c>
      <c r="G26" s="22">
        <v>1.1200000000000001</v>
      </c>
      <c r="H26" s="22">
        <v>2.5499999999999998</v>
      </c>
      <c r="I26" s="22">
        <v>11</v>
      </c>
      <c r="J26" s="23">
        <f t="shared" si="7"/>
        <v>0.36986301369863012</v>
      </c>
      <c r="K26" s="23">
        <f t="shared" si="8"/>
        <v>0.08</v>
      </c>
      <c r="L26" s="23">
        <f t="shared" si="9"/>
        <v>5.7534246575342465E-2</v>
      </c>
      <c r="M26" s="23">
        <f t="shared" si="5"/>
        <v>0.37931034482758619</v>
      </c>
      <c r="N26" s="23">
        <f t="shared" si="10"/>
        <v>2.7397260273972601E-2</v>
      </c>
      <c r="O26" s="22">
        <v>5.84</v>
      </c>
      <c r="P26" s="22">
        <v>4.2</v>
      </c>
      <c r="Q26" s="22">
        <v>4.45</v>
      </c>
      <c r="R26" s="22">
        <v>2</v>
      </c>
      <c r="S26" s="22">
        <v>29</v>
      </c>
      <c r="T26" s="22">
        <v>63.545999999999999</v>
      </c>
      <c r="U26" s="22">
        <v>1.181</v>
      </c>
      <c r="V26" s="22">
        <v>135</v>
      </c>
      <c r="W26" s="22">
        <v>0.29399999999999998</v>
      </c>
      <c r="X26" s="22">
        <f t="shared" si="0"/>
        <v>27</v>
      </c>
      <c r="Y26" s="22">
        <v>1.75</v>
      </c>
      <c r="Z26" s="22">
        <v>1.08</v>
      </c>
      <c r="AA26" s="22">
        <v>1.9</v>
      </c>
      <c r="AB26" s="22">
        <v>118.5</v>
      </c>
      <c r="AC26" s="22">
        <v>238</v>
      </c>
      <c r="AD26" s="22">
        <v>745.4</v>
      </c>
      <c r="AE26" s="22">
        <v>1958</v>
      </c>
      <c r="AF26" s="22">
        <v>3554</v>
      </c>
      <c r="AG26" s="22">
        <f t="shared" si="1"/>
        <v>0.52142857142857146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左致平</dc:creator>
  <cp:lastModifiedBy>致平 左</cp:lastModifiedBy>
  <dcterms:created xsi:type="dcterms:W3CDTF">2015-06-05T18:19:34Z</dcterms:created>
  <dcterms:modified xsi:type="dcterms:W3CDTF">2025-11-20T07:00:05Z</dcterms:modified>
</cp:coreProperties>
</file>